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ecast" sheetId="1" state="visible" r:id="rId1"/>
    <sheet name="Assumptions" sheetId="2" state="visible" r:id="rId2"/>
  </sheets>
  <definedNames>
    <definedName name="RENT_FORECAST">Forecast!$C$9:$Z$9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3" fontId="0" fillId="0" borderId="0" pivotButton="0" quotePrefix="0" xfId="0"/>
    <xf numFmtId="0" fontId="3" fillId="0" borderId="0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Harbour Lane Trading Ltd - P&amp;L forecast 2027-2028 (HKD)</t>
        </is>
      </c>
    </row>
    <row r="2">
      <c r="A2" t="inlineStr">
        <is>
          <t>v1, 14 Aug 2026, prepared by A. Chan. Rent flat pending lease renewal (D. Wong).</t>
        </is>
      </c>
    </row>
    <row r="4">
      <c r="A4" s="2" t="inlineStr">
        <is>
          <t>line</t>
        </is>
      </c>
      <c r="B4" s="2" t="inlineStr">
        <is>
          <t>acct</t>
        </is>
      </c>
      <c r="C4" s="2" t="inlineStr">
        <is>
          <t>Jan-27</t>
        </is>
      </c>
      <c r="D4" s="2" t="inlineStr">
        <is>
          <t>Feb-27</t>
        </is>
      </c>
      <c r="E4" s="2" t="inlineStr">
        <is>
          <t>Mar-27</t>
        </is>
      </c>
      <c r="F4" s="2" t="inlineStr">
        <is>
          <t>Apr-27</t>
        </is>
      </c>
      <c r="G4" s="2" t="inlineStr">
        <is>
          <t>May-27</t>
        </is>
      </c>
      <c r="H4" s="2" t="inlineStr">
        <is>
          <t>Jun-27</t>
        </is>
      </c>
      <c r="I4" s="2" t="inlineStr">
        <is>
          <t>Jul-27</t>
        </is>
      </c>
      <c r="J4" s="2" t="inlineStr">
        <is>
          <t>Aug-27</t>
        </is>
      </c>
      <c r="K4" s="2" t="inlineStr">
        <is>
          <t>Sep-27</t>
        </is>
      </c>
      <c r="L4" s="2" t="inlineStr">
        <is>
          <t>Oct-27</t>
        </is>
      </c>
      <c r="M4" s="2" t="inlineStr">
        <is>
          <t>Nov-27</t>
        </is>
      </c>
      <c r="N4" s="2" t="inlineStr">
        <is>
          <t>Dec-27</t>
        </is>
      </c>
      <c r="O4" s="2" t="inlineStr">
        <is>
          <t>Jan-28</t>
        </is>
      </c>
      <c r="P4" s="2" t="inlineStr">
        <is>
          <t>Feb-28</t>
        </is>
      </c>
      <c r="Q4" s="2" t="inlineStr">
        <is>
          <t>Mar-28</t>
        </is>
      </c>
      <c r="R4" s="2" t="inlineStr">
        <is>
          <t>Apr-28</t>
        </is>
      </c>
      <c r="S4" s="2" t="inlineStr">
        <is>
          <t>May-28</t>
        </is>
      </c>
      <c r="T4" s="2" t="inlineStr">
        <is>
          <t>Jun-28</t>
        </is>
      </c>
      <c r="U4" s="2" t="inlineStr">
        <is>
          <t>Jul-28</t>
        </is>
      </c>
      <c r="V4" s="2" t="inlineStr">
        <is>
          <t>Aug-28</t>
        </is>
      </c>
      <c r="W4" s="2" t="inlineStr">
        <is>
          <t>Sep-28</t>
        </is>
      </c>
      <c r="X4" s="2" t="inlineStr">
        <is>
          <t>Oct-28</t>
        </is>
      </c>
      <c r="Y4" s="2" t="inlineStr">
        <is>
          <t>Nov-28</t>
        </is>
      </c>
      <c r="Z4" s="2" t="inlineStr">
        <is>
          <t>Dec-28</t>
        </is>
      </c>
    </row>
    <row r="5">
      <c r="A5" t="inlineStr">
        <is>
          <t>Revenue</t>
        </is>
      </c>
      <c r="B5" t="inlineStr">
        <is>
          <t>200</t>
        </is>
      </c>
      <c r="C5" s="3" t="n">
        <v>1420000</v>
      </c>
      <c r="D5" s="3" t="n">
        <v>1420000</v>
      </c>
      <c r="E5" s="3" t="n">
        <v>1420000</v>
      </c>
      <c r="F5" s="3" t="n">
        <v>1420000</v>
      </c>
      <c r="G5" s="3" t="n">
        <v>1420000</v>
      </c>
      <c r="H5" s="3" t="n">
        <v>1420000</v>
      </c>
      <c r="I5" s="3" t="n">
        <v>1420000</v>
      </c>
      <c r="J5" s="3" t="n">
        <v>1420000</v>
      </c>
      <c r="K5" s="3" t="n">
        <v>1420000</v>
      </c>
      <c r="L5" s="3" t="n">
        <v>1448400</v>
      </c>
      <c r="M5" s="3" t="n">
        <v>1448400</v>
      </c>
      <c r="N5" s="3" t="n">
        <v>1448400</v>
      </c>
      <c r="O5" s="3" t="n">
        <v>1476800</v>
      </c>
      <c r="P5" s="3" t="n">
        <v>1476800</v>
      </c>
      <c r="Q5" s="3" t="n">
        <v>1476800</v>
      </c>
      <c r="R5" s="3" t="n">
        <v>1476800</v>
      </c>
      <c r="S5" s="3" t="n">
        <v>1476800</v>
      </c>
      <c r="T5" s="3" t="n">
        <v>1476800</v>
      </c>
      <c r="U5" s="3" t="n">
        <v>1476800</v>
      </c>
      <c r="V5" s="3" t="n">
        <v>1476800</v>
      </c>
      <c r="W5" s="3" t="n">
        <v>1476800</v>
      </c>
      <c r="X5" s="3" t="n">
        <v>1506300</v>
      </c>
      <c r="Y5" s="3" t="n">
        <v>1506300</v>
      </c>
      <c r="Z5" s="3" t="n">
        <v>1506300</v>
      </c>
    </row>
    <row r="6">
      <c r="A6" t="inlineStr">
        <is>
          <t>Cost of goods sold</t>
        </is>
      </c>
      <c r="B6" t="inlineStr">
        <is>
          <t>310</t>
        </is>
      </c>
      <c r="C6" s="3" t="n">
        <v>625000</v>
      </c>
      <c r="D6" s="3" t="n">
        <v>625000</v>
      </c>
      <c r="E6" s="3" t="n">
        <v>625000</v>
      </c>
      <c r="F6" s="3" t="n">
        <v>625000</v>
      </c>
      <c r="G6" s="3" t="n">
        <v>625000</v>
      </c>
      <c r="H6" s="3" t="n">
        <v>625000</v>
      </c>
      <c r="I6" s="3" t="n">
        <v>625000</v>
      </c>
      <c r="J6" s="3" t="n">
        <v>625000</v>
      </c>
      <c r="K6" s="3" t="n">
        <v>625000</v>
      </c>
      <c r="L6" s="3" t="n">
        <v>625000</v>
      </c>
      <c r="M6" s="3" t="n">
        <v>625000</v>
      </c>
      <c r="N6" s="3" t="n">
        <v>625000</v>
      </c>
      <c r="O6" s="3" t="n">
        <v>650000</v>
      </c>
      <c r="P6" s="3" t="n">
        <v>650000</v>
      </c>
      <c r="Q6" s="3" t="n">
        <v>650000</v>
      </c>
      <c r="R6" s="3" t="n">
        <v>650000</v>
      </c>
      <c r="S6" s="3" t="n">
        <v>650000</v>
      </c>
      <c r="T6" s="3" t="n">
        <v>650000</v>
      </c>
      <c r="U6" s="3" t="n">
        <v>650000</v>
      </c>
      <c r="V6" s="3" t="n">
        <v>650000</v>
      </c>
      <c r="W6" s="3" t="n">
        <v>650000</v>
      </c>
      <c r="X6" s="3" t="n">
        <v>650000</v>
      </c>
      <c r="Y6" s="3" t="n">
        <v>650000</v>
      </c>
      <c r="Z6" s="3" t="n">
        <v>650000</v>
      </c>
    </row>
    <row r="7">
      <c r="A7" s="4" t="inlineStr">
        <is>
          <t>Gross profit</t>
        </is>
      </c>
      <c r="B7" s="4" t="inlineStr"/>
      <c r="C7" s="5">
        <f>C5-C6</f>
        <v/>
      </c>
      <c r="D7" s="5">
        <f>D5-D6</f>
        <v/>
      </c>
      <c r="E7" s="5">
        <f>E5-E6</f>
        <v/>
      </c>
      <c r="F7" s="5">
        <f>F5-F6</f>
        <v/>
      </c>
      <c r="G7" s="5">
        <f>G5-G6</f>
        <v/>
      </c>
      <c r="H7" s="5">
        <f>H5-H6</f>
        <v/>
      </c>
      <c r="I7" s="5">
        <f>I5-I6</f>
        <v/>
      </c>
      <c r="J7" s="5">
        <f>J5-J6</f>
        <v/>
      </c>
      <c r="K7" s="5">
        <f>K5-K6</f>
        <v/>
      </c>
      <c r="L7" s="5">
        <f>L5-L6</f>
        <v/>
      </c>
      <c r="M7" s="5">
        <f>M5-M6</f>
        <v/>
      </c>
      <c r="N7" s="5">
        <f>N5-N6</f>
        <v/>
      </c>
      <c r="O7" s="5">
        <f>O5-O6</f>
        <v/>
      </c>
      <c r="P7" s="5">
        <f>P5-P6</f>
        <v/>
      </c>
      <c r="Q7" s="5">
        <f>Q5-Q6</f>
        <v/>
      </c>
      <c r="R7" s="5">
        <f>R5-R6</f>
        <v/>
      </c>
      <c r="S7" s="5">
        <f>S5-S6</f>
        <v/>
      </c>
      <c r="T7" s="5">
        <f>T5-T6</f>
        <v/>
      </c>
      <c r="U7" s="5">
        <f>U5-U6</f>
        <v/>
      </c>
      <c r="V7" s="5">
        <f>V5-V6</f>
        <v/>
      </c>
      <c r="W7" s="5">
        <f>W5-W6</f>
        <v/>
      </c>
      <c r="X7" s="5">
        <f>X5-X6</f>
        <v/>
      </c>
      <c r="Y7" s="5">
        <f>Y5-Y6</f>
        <v/>
      </c>
      <c r="Z7" s="5">
        <f>Z5-Z6</f>
        <v/>
      </c>
    </row>
    <row r="8">
      <c r="A8" t="inlineStr">
        <is>
          <t>Salaries &amp; MPF</t>
        </is>
      </c>
      <c r="B8" t="inlineStr">
        <is>
          <t>477/478</t>
        </is>
      </c>
      <c r="C8" s="3" t="n">
        <v>470000</v>
      </c>
      <c r="D8" s="3" t="n">
        <v>470000</v>
      </c>
      <c r="E8" s="3" t="n">
        <v>470000</v>
      </c>
      <c r="F8" s="3" t="n">
        <v>470000</v>
      </c>
      <c r="G8" s="3" t="n">
        <v>470000</v>
      </c>
      <c r="H8" s="3" t="n">
        <v>470000</v>
      </c>
      <c r="I8" s="3" t="n">
        <v>470000</v>
      </c>
      <c r="J8" s="3" t="n">
        <v>470000</v>
      </c>
      <c r="K8" s="3" t="n">
        <v>470000</v>
      </c>
      <c r="L8" s="3" t="n">
        <v>470000</v>
      </c>
      <c r="M8" s="3" t="n">
        <v>470000</v>
      </c>
      <c r="N8" s="3" t="n">
        <v>470000</v>
      </c>
      <c r="O8" s="3" t="n">
        <v>488800</v>
      </c>
      <c r="P8" s="3" t="n">
        <v>488800</v>
      </c>
      <c r="Q8" s="3" t="n">
        <v>488800</v>
      </c>
      <c r="R8" s="3" t="n">
        <v>488800</v>
      </c>
      <c r="S8" s="3" t="n">
        <v>488800</v>
      </c>
      <c r="T8" s="3" t="n">
        <v>488800</v>
      </c>
      <c r="U8" s="3" t="n">
        <v>488800</v>
      </c>
      <c r="V8" s="3" t="n">
        <v>488800</v>
      </c>
      <c r="W8" s="3" t="n">
        <v>488800</v>
      </c>
      <c r="X8" s="3" t="n">
        <v>488800</v>
      </c>
      <c r="Y8" s="3" t="n">
        <v>488800</v>
      </c>
      <c r="Z8" s="3" t="n">
        <v>488800</v>
      </c>
    </row>
    <row r="9">
      <c r="A9" t="inlineStr">
        <is>
          <t>Rent</t>
        </is>
      </c>
      <c r="B9" t="inlineStr">
        <is>
          <t>469</t>
        </is>
      </c>
      <c r="C9" s="3" t="n">
        <v>80000</v>
      </c>
      <c r="D9" s="3" t="n">
        <v>80000</v>
      </c>
      <c r="E9" s="3" t="n">
        <v>80000</v>
      </c>
      <c r="F9" s="3" t="n">
        <v>80000</v>
      </c>
      <c r="G9" s="3" t="n">
        <v>80000</v>
      </c>
      <c r="H9" s="3" t="n">
        <v>80000</v>
      </c>
      <c r="I9" s="3" t="n">
        <v>80000</v>
      </c>
      <c r="J9" s="3" t="n">
        <v>80000</v>
      </c>
      <c r="K9" s="3" t="n">
        <v>80000</v>
      </c>
      <c r="L9" s="3" t="n">
        <v>80000</v>
      </c>
      <c r="M9" s="3" t="n">
        <v>80000</v>
      </c>
      <c r="N9" s="3" t="n">
        <v>80000</v>
      </c>
      <c r="O9" s="3" t="n">
        <v>80000</v>
      </c>
      <c r="P9" s="3" t="n">
        <v>80000</v>
      </c>
      <c r="Q9" s="3" t="n">
        <v>80000</v>
      </c>
      <c r="R9" s="3" t="n">
        <v>80000</v>
      </c>
      <c r="S9" s="3" t="n">
        <v>80000</v>
      </c>
      <c r="T9" s="3" t="n">
        <v>80000</v>
      </c>
      <c r="U9" s="3" t="n">
        <v>80000</v>
      </c>
      <c r="V9" s="3" t="n">
        <v>80000</v>
      </c>
      <c r="W9" s="3" t="n">
        <v>80000</v>
      </c>
      <c r="X9" s="3" t="n">
        <v>80000</v>
      </c>
      <c r="Y9" s="3" t="n">
        <v>80000</v>
      </c>
      <c r="Z9" s="3" t="n">
        <v>80000</v>
      </c>
    </row>
    <row r="10">
      <c r="A10" t="inlineStr">
        <is>
          <t>Freight</t>
        </is>
      </c>
      <c r="B10" t="inlineStr">
        <is>
          <t>425</t>
        </is>
      </c>
      <c r="C10" s="3" t="n">
        <v>24000</v>
      </c>
      <c r="D10" s="3" t="n">
        <v>24000</v>
      </c>
      <c r="E10" s="3" t="n">
        <v>24000</v>
      </c>
      <c r="F10" s="3" t="n">
        <v>24000</v>
      </c>
      <c r="G10" s="3" t="n">
        <v>24000</v>
      </c>
      <c r="H10" s="3" t="n">
        <v>24000</v>
      </c>
      <c r="I10" s="3" t="n">
        <v>24000</v>
      </c>
      <c r="J10" s="3" t="n">
        <v>24000</v>
      </c>
      <c r="K10" s="3" t="n">
        <v>24000</v>
      </c>
      <c r="L10" s="3" t="n">
        <v>24000</v>
      </c>
      <c r="M10" s="3" t="n">
        <v>24000</v>
      </c>
      <c r="N10" s="3" t="n">
        <v>24000</v>
      </c>
      <c r="O10" s="3" t="n">
        <v>24700</v>
      </c>
      <c r="P10" s="3" t="n">
        <v>24700</v>
      </c>
      <c r="Q10" s="3" t="n">
        <v>24700</v>
      </c>
      <c r="R10" s="3" t="n">
        <v>24700</v>
      </c>
      <c r="S10" s="3" t="n">
        <v>24700</v>
      </c>
      <c r="T10" s="3" t="n">
        <v>24700</v>
      </c>
      <c r="U10" s="3" t="n">
        <v>24700</v>
      </c>
      <c r="V10" s="3" t="n">
        <v>24700</v>
      </c>
      <c r="W10" s="3" t="n">
        <v>24700</v>
      </c>
      <c r="X10" s="3" t="n">
        <v>24700</v>
      </c>
      <c r="Y10" s="3" t="n">
        <v>24700</v>
      </c>
      <c r="Z10" s="3" t="n">
        <v>24700</v>
      </c>
    </row>
    <row r="11">
      <c r="A11" t="inlineStr">
        <is>
          <t>Software</t>
        </is>
      </c>
      <c r="B11" t="inlineStr">
        <is>
          <t>485</t>
        </is>
      </c>
      <c r="C11" s="3" t="n">
        <v>12700</v>
      </c>
      <c r="D11" s="3" t="n">
        <v>12700</v>
      </c>
      <c r="E11" s="3" t="n">
        <v>12700</v>
      </c>
      <c r="F11" s="3" t="n">
        <v>12700</v>
      </c>
      <c r="G11" s="3" t="n">
        <v>12700</v>
      </c>
      <c r="H11" s="3" t="n">
        <v>12700</v>
      </c>
      <c r="I11" s="3" t="n">
        <v>12700</v>
      </c>
      <c r="J11" s="3" t="n">
        <v>12700</v>
      </c>
      <c r="K11" s="3" t="n">
        <v>12700</v>
      </c>
      <c r="L11" s="3" t="n">
        <v>12700</v>
      </c>
      <c r="M11" s="3" t="n">
        <v>12700</v>
      </c>
      <c r="N11" s="3" t="n">
        <v>12700</v>
      </c>
      <c r="O11" s="3" t="n">
        <v>12700</v>
      </c>
      <c r="P11" s="3" t="n">
        <v>12700</v>
      </c>
      <c r="Q11" s="3" t="n">
        <v>12700</v>
      </c>
      <c r="R11" s="3" t="n">
        <v>12700</v>
      </c>
      <c r="S11" s="3" t="n">
        <v>12700</v>
      </c>
      <c r="T11" s="3" t="n">
        <v>12700</v>
      </c>
      <c r="U11" s="3" t="n">
        <v>12700</v>
      </c>
      <c r="V11" s="3" t="n">
        <v>12700</v>
      </c>
      <c r="W11" s="3" t="n">
        <v>12700</v>
      </c>
      <c r="X11" s="3" t="n">
        <v>12700</v>
      </c>
      <c r="Y11" s="3" t="n">
        <v>12700</v>
      </c>
      <c r="Z11" s="3" t="n">
        <v>12700</v>
      </c>
    </row>
    <row r="12">
      <c r="A12" t="inlineStr">
        <is>
          <t>Utilities &amp; building mgmt</t>
        </is>
      </c>
      <c r="B12" t="inlineStr">
        <is>
          <t>445/471</t>
        </is>
      </c>
      <c r="C12" s="3" t="n">
        <v>13500</v>
      </c>
      <c r="D12" s="3" t="n">
        <v>13500</v>
      </c>
      <c r="E12" s="3" t="n">
        <v>13500</v>
      </c>
      <c r="F12" s="3" t="n">
        <v>13500</v>
      </c>
      <c r="G12" s="3" t="n">
        <v>13500</v>
      </c>
      <c r="H12" s="3" t="n">
        <v>13500</v>
      </c>
      <c r="I12" s="3" t="n">
        <v>13500</v>
      </c>
      <c r="J12" s="3" t="n">
        <v>13500</v>
      </c>
      <c r="K12" s="3" t="n">
        <v>13500</v>
      </c>
      <c r="L12" s="3" t="n">
        <v>13500</v>
      </c>
      <c r="M12" s="3" t="n">
        <v>13500</v>
      </c>
      <c r="N12" s="3" t="n">
        <v>13500</v>
      </c>
      <c r="O12" s="3" t="n">
        <v>13900</v>
      </c>
      <c r="P12" s="3" t="n">
        <v>13900</v>
      </c>
      <c r="Q12" s="3" t="n">
        <v>13900</v>
      </c>
      <c r="R12" s="3" t="n">
        <v>13900</v>
      </c>
      <c r="S12" s="3" t="n">
        <v>13900</v>
      </c>
      <c r="T12" s="3" t="n">
        <v>13900</v>
      </c>
      <c r="U12" s="3" t="n">
        <v>13900</v>
      </c>
      <c r="V12" s="3" t="n">
        <v>13900</v>
      </c>
      <c r="W12" s="3" t="n">
        <v>13900</v>
      </c>
      <c r="X12" s="3" t="n">
        <v>13900</v>
      </c>
      <c r="Y12" s="3" t="n">
        <v>13900</v>
      </c>
      <c r="Z12" s="3" t="n">
        <v>13900</v>
      </c>
    </row>
    <row r="13">
      <c r="A13" t="inlineStr">
        <is>
          <t>Other opex</t>
        </is>
      </c>
      <c r="B13" t="inlineStr">
        <is>
          <t>4xx</t>
        </is>
      </c>
      <c r="C13" s="3" t="n">
        <v>40000</v>
      </c>
      <c r="D13" s="3" t="n">
        <v>40000</v>
      </c>
      <c r="E13" s="3" t="n">
        <v>40000</v>
      </c>
      <c r="F13" s="3" t="n">
        <v>40000</v>
      </c>
      <c r="G13" s="3" t="n">
        <v>40000</v>
      </c>
      <c r="H13" s="3" t="n">
        <v>40000</v>
      </c>
      <c r="I13" s="3" t="n">
        <v>40000</v>
      </c>
      <c r="J13" s="3" t="n">
        <v>40000</v>
      </c>
      <c r="K13" s="3" t="n">
        <v>40000</v>
      </c>
      <c r="L13" s="3" t="n">
        <v>40000</v>
      </c>
      <c r="M13" s="3" t="n">
        <v>40000</v>
      </c>
      <c r="N13" s="3" t="n">
        <v>40000</v>
      </c>
      <c r="O13" s="3" t="n">
        <v>41200</v>
      </c>
      <c r="P13" s="3" t="n">
        <v>41200</v>
      </c>
      <c r="Q13" s="3" t="n">
        <v>41200</v>
      </c>
      <c r="R13" s="3" t="n">
        <v>41200</v>
      </c>
      <c r="S13" s="3" t="n">
        <v>41200</v>
      </c>
      <c r="T13" s="3" t="n">
        <v>41200</v>
      </c>
      <c r="U13" s="3" t="n">
        <v>41200</v>
      </c>
      <c r="V13" s="3" t="n">
        <v>41200</v>
      </c>
      <c r="W13" s="3" t="n">
        <v>41200</v>
      </c>
      <c r="X13" s="3" t="n">
        <v>41200</v>
      </c>
      <c r="Y13" s="3" t="n">
        <v>41200</v>
      </c>
      <c r="Z13" s="3" t="n">
        <v>41200</v>
      </c>
    </row>
    <row r="14">
      <c r="A14" s="4" t="inlineStr">
        <is>
          <t>Total opex</t>
        </is>
      </c>
      <c r="B14" s="4" t="inlineStr"/>
      <c r="C14" s="5">
        <f>SUM(C8:C13)</f>
        <v/>
      </c>
      <c r="D14" s="5">
        <f>SUM(D8:D13)</f>
        <v/>
      </c>
      <c r="E14" s="5">
        <f>SUM(E8:E13)</f>
        <v/>
      </c>
      <c r="F14" s="5">
        <f>SUM(F8:F13)</f>
        <v/>
      </c>
      <c r="G14" s="5">
        <f>SUM(G8:G13)</f>
        <v/>
      </c>
      <c r="H14" s="5">
        <f>SUM(H8:H13)</f>
        <v/>
      </c>
      <c r="I14" s="5">
        <f>SUM(I8:I13)</f>
        <v/>
      </c>
      <c r="J14" s="5">
        <f>SUM(J8:J13)</f>
        <v/>
      </c>
      <c r="K14" s="5">
        <f>SUM(K8:K13)</f>
        <v/>
      </c>
      <c r="L14" s="5">
        <f>SUM(L8:L13)</f>
        <v/>
      </c>
      <c r="M14" s="5">
        <f>SUM(M8:M13)</f>
        <v/>
      </c>
      <c r="N14" s="5">
        <f>SUM(N8:N13)</f>
        <v/>
      </c>
      <c r="O14" s="5">
        <f>SUM(O8:O13)</f>
        <v/>
      </c>
      <c r="P14" s="5">
        <f>SUM(P8:P13)</f>
        <v/>
      </c>
      <c r="Q14" s="5">
        <f>SUM(Q8:Q13)</f>
        <v/>
      </c>
      <c r="R14" s="5">
        <f>SUM(R8:R13)</f>
        <v/>
      </c>
      <c r="S14" s="5">
        <f>SUM(S8:S13)</f>
        <v/>
      </c>
      <c r="T14" s="5">
        <f>SUM(T8:T13)</f>
        <v/>
      </c>
      <c r="U14" s="5">
        <f>SUM(U8:U13)</f>
        <v/>
      </c>
      <c r="V14" s="5">
        <f>SUM(V8:V13)</f>
        <v/>
      </c>
      <c r="W14" s="5">
        <f>SUM(W8:W13)</f>
        <v/>
      </c>
      <c r="X14" s="5">
        <f>SUM(X8:X13)</f>
        <v/>
      </c>
      <c r="Y14" s="5">
        <f>SUM(Y8:Y13)</f>
        <v/>
      </c>
      <c r="Z14" s="5">
        <f>SUM(Z8:Z13)</f>
        <v/>
      </c>
    </row>
    <row r="15">
      <c r="A15" s="4" t="inlineStr">
        <is>
          <t>EBITDA</t>
        </is>
      </c>
      <c r="B15" s="4" t="inlineStr"/>
      <c r="C15" s="5">
        <f>C7-C14</f>
        <v/>
      </c>
      <c r="D15" s="5">
        <f>D7-D14</f>
        <v/>
      </c>
      <c r="E15" s="5">
        <f>E7-E14</f>
        <v/>
      </c>
      <c r="F15" s="5">
        <f>F7-F14</f>
        <v/>
      </c>
      <c r="G15" s="5">
        <f>G7-G14</f>
        <v/>
      </c>
      <c r="H15" s="5">
        <f>H7-H14</f>
        <v/>
      </c>
      <c r="I15" s="5">
        <f>I7-I14</f>
        <v/>
      </c>
      <c r="J15" s="5">
        <f>J7-J14</f>
        <v/>
      </c>
      <c r="K15" s="5">
        <f>K7-K14</f>
        <v/>
      </c>
      <c r="L15" s="5">
        <f>L7-L14</f>
        <v/>
      </c>
      <c r="M15" s="5">
        <f>M7-M14</f>
        <v/>
      </c>
      <c r="N15" s="5">
        <f>N7-N14</f>
        <v/>
      </c>
      <c r="O15" s="5">
        <f>O7-O14</f>
        <v/>
      </c>
      <c r="P15" s="5">
        <f>P7-P14</f>
        <v/>
      </c>
      <c r="Q15" s="5">
        <f>Q7-Q14</f>
        <v/>
      </c>
      <c r="R15" s="5">
        <f>R7-R14</f>
        <v/>
      </c>
      <c r="S15" s="5">
        <f>S7-S14</f>
        <v/>
      </c>
      <c r="T15" s="5">
        <f>T7-T14</f>
        <v/>
      </c>
      <c r="U15" s="5">
        <f>U7-U14</f>
        <v/>
      </c>
      <c r="V15" s="5">
        <f>V7-V14</f>
        <v/>
      </c>
      <c r="W15" s="5">
        <f>W7-W14</f>
        <v/>
      </c>
      <c r="X15" s="5">
        <f>X7-X14</f>
        <v/>
      </c>
      <c r="Y15" s="5">
        <f>Y7-Y14</f>
        <v/>
      </c>
      <c r="Z15" s="5">
        <f>Z7-Z14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source</t>
        </is>
      </c>
    </row>
    <row r="2">
      <c r="A2" t="inlineStr">
        <is>
          <t>Revenue growth 2028</t>
        </is>
      </c>
      <c r="B2" t="inlineStr">
        <is>
          <t>+4%</t>
        </is>
      </c>
      <c r="C2" t="inlineStr">
        <is>
          <t>D. Wong email 14 Aug 2026</t>
        </is>
      </c>
    </row>
    <row r="3">
      <c r="A3" t="inlineStr">
        <is>
          <t>Headcount</t>
        </is>
      </c>
      <c r="B3" t="inlineStr">
        <is>
          <t>18, flat</t>
        </is>
      </c>
      <c r="C3" t="inlineStr">
        <is>
          <t>D. Wong email 14 Aug 2026</t>
        </is>
      </c>
    </row>
    <row r="4">
      <c r="A4" t="inlineStr">
        <is>
          <t>Rent 2027-2028</t>
        </is>
      </c>
      <c r="B4" t="inlineStr">
        <is>
          <t>HK$80,000/month flat</t>
        </is>
      </c>
      <c r="C4" t="inlineStr">
        <is>
          <t>Pending lease renewal; COMPANY.md; D. Wong email 14 Aug 2026</t>
        </is>
      </c>
    </row>
    <row r="5">
      <c r="A5" t="inlineStr">
        <is>
          <t>FX</t>
        </is>
      </c>
      <c r="B5" t="inlineStr">
        <is>
          <t>USD 7.80, RMB 1.08</t>
        </is>
      </c>
      <c r="C5" t="inlineStr">
        <is>
          <t>fx_rates.xlsx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Anna Chan</dc:creator>
  <dcterms:created xsi:type="dcterms:W3CDTF">2026-08-14T17:30:00Z</dcterms:created>
  <dcterms:modified xsi:type="dcterms:W3CDTF">2026-08-14T17:30:00Z</dcterms:modified>
  <cp:lastModifiedBy>Ken Lau</cp:lastModifiedBy>
</cp:coreProperties>
</file>