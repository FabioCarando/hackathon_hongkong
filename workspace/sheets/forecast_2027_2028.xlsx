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Assumptions" sheetId="2" state="visible" r:id="rId2"/>
  </sheets>
  <definedNames>
    <definedName name="RENT_INCOME_FORECAST">Forecast!$C$5:$Z$5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Lantau Peak Family Office Ltd - Family office cash forecast 2027-2028 (HKD)</t>
        </is>
      </c>
    </row>
    <row r="2">
      <c r="A2" t="inlineStr">
        <is>
          <t>v1, 14 Aug 2026, prepared by G. Lam. Repulse Bay rent flat pending lease renewal (R. Ho).</t>
        </is>
      </c>
    </row>
    <row r="4">
      <c r="A4" s="2" t="inlineStr">
        <is>
          <t>line</t>
        </is>
      </c>
      <c r="B4" s="2" t="inlineStr">
        <is>
          <t>acct</t>
        </is>
      </c>
      <c r="C4" s="2" t="inlineStr">
        <is>
          <t>Jan-27</t>
        </is>
      </c>
      <c r="D4" s="2" t="inlineStr">
        <is>
          <t>Feb-27</t>
        </is>
      </c>
      <c r="E4" s="2" t="inlineStr">
        <is>
          <t>Mar-27</t>
        </is>
      </c>
      <c r="F4" s="2" t="inlineStr">
        <is>
          <t>Apr-27</t>
        </is>
      </c>
      <c r="G4" s="2" t="inlineStr">
        <is>
          <t>May-27</t>
        </is>
      </c>
      <c r="H4" s="2" t="inlineStr">
        <is>
          <t>Jun-27</t>
        </is>
      </c>
      <c r="I4" s="2" t="inlineStr">
        <is>
          <t>Jul-27</t>
        </is>
      </c>
      <c r="J4" s="2" t="inlineStr">
        <is>
          <t>Aug-27</t>
        </is>
      </c>
      <c r="K4" s="2" t="inlineStr">
        <is>
          <t>Sep-27</t>
        </is>
      </c>
      <c r="L4" s="2" t="inlineStr">
        <is>
          <t>Oct-27</t>
        </is>
      </c>
      <c r="M4" s="2" t="inlineStr">
        <is>
          <t>Nov-27</t>
        </is>
      </c>
      <c r="N4" s="2" t="inlineStr">
        <is>
          <t>Dec-27</t>
        </is>
      </c>
      <c r="O4" s="2" t="inlineStr">
        <is>
          <t>Jan-28</t>
        </is>
      </c>
      <c r="P4" s="2" t="inlineStr">
        <is>
          <t>Feb-28</t>
        </is>
      </c>
      <c r="Q4" s="2" t="inlineStr">
        <is>
          <t>Mar-28</t>
        </is>
      </c>
      <c r="R4" s="2" t="inlineStr">
        <is>
          <t>Apr-28</t>
        </is>
      </c>
      <c r="S4" s="2" t="inlineStr">
        <is>
          <t>May-28</t>
        </is>
      </c>
      <c r="T4" s="2" t="inlineStr">
        <is>
          <t>Jun-28</t>
        </is>
      </c>
      <c r="U4" s="2" t="inlineStr">
        <is>
          <t>Jul-28</t>
        </is>
      </c>
      <c r="V4" s="2" t="inlineStr">
        <is>
          <t>Aug-28</t>
        </is>
      </c>
      <c r="W4" s="2" t="inlineStr">
        <is>
          <t>Sep-28</t>
        </is>
      </c>
      <c r="X4" s="2" t="inlineStr">
        <is>
          <t>Oct-28</t>
        </is>
      </c>
      <c r="Y4" s="2" t="inlineStr">
        <is>
          <t>Nov-28</t>
        </is>
      </c>
      <c r="Z4" s="2" t="inlineStr">
        <is>
          <t>Dec-28</t>
        </is>
      </c>
    </row>
    <row r="5">
      <c r="A5" t="inlineStr">
        <is>
          <t>Rental income - Flat 12A Repulse Bay</t>
        </is>
      </c>
      <c r="B5" t="inlineStr">
        <is>
          <t>260</t>
        </is>
      </c>
      <c r="C5" s="3" t="n">
        <v>95000</v>
      </c>
      <c r="D5" s="3" t="n">
        <v>95000</v>
      </c>
      <c r="E5" s="3" t="n">
        <v>95000</v>
      </c>
      <c r="F5" s="3" t="n">
        <v>95000</v>
      </c>
      <c r="G5" s="3" t="n">
        <v>95000</v>
      </c>
      <c r="H5" s="3" t="n">
        <v>95000</v>
      </c>
      <c r="I5" s="3" t="n">
        <v>95000</v>
      </c>
      <c r="J5" s="3" t="n">
        <v>95000</v>
      </c>
      <c r="K5" s="3" t="n">
        <v>95000</v>
      </c>
      <c r="L5" s="3" t="n">
        <v>95000</v>
      </c>
      <c r="M5" s="3" t="n">
        <v>95000</v>
      </c>
      <c r="N5" s="3" t="n">
        <v>95000</v>
      </c>
      <c r="O5" s="3" t="n">
        <v>95000</v>
      </c>
      <c r="P5" s="3" t="n">
        <v>95000</v>
      </c>
      <c r="Q5" s="3" t="n">
        <v>95000</v>
      </c>
      <c r="R5" s="3" t="n">
        <v>95000</v>
      </c>
      <c r="S5" s="3" t="n">
        <v>95000</v>
      </c>
      <c r="T5" s="3" t="n">
        <v>95000</v>
      </c>
      <c r="U5" s="3" t="n">
        <v>95000</v>
      </c>
      <c r="V5" s="3" t="n">
        <v>95000</v>
      </c>
      <c r="W5" s="3" t="n">
        <v>95000</v>
      </c>
      <c r="X5" s="3" t="n">
        <v>95000</v>
      </c>
      <c r="Y5" s="3" t="n">
        <v>95000</v>
      </c>
      <c r="Z5" s="3" t="n">
        <v>95000</v>
      </c>
    </row>
    <row r="6">
      <c r="A6" t="inlineStr">
        <is>
          <t>Rental income - Flat 21B Mid-Levels</t>
        </is>
      </c>
      <c r="B6" t="inlineStr">
        <is>
          <t>260</t>
        </is>
      </c>
      <c r="C6" s="3" t="n">
        <v>62000</v>
      </c>
      <c r="D6" s="3" t="n">
        <v>62000</v>
      </c>
      <c r="E6" s="3" t="n">
        <v>62000</v>
      </c>
      <c r="F6" s="3" t="n">
        <v>62000</v>
      </c>
      <c r="G6" s="3" t="n">
        <v>62000</v>
      </c>
      <c r="H6" s="3" t="n">
        <v>62000</v>
      </c>
      <c r="I6" s="3" t="n">
        <v>62000</v>
      </c>
      <c r="J6" s="3" t="n">
        <v>62000</v>
      </c>
      <c r="K6" s="3" t="n">
        <v>62000</v>
      </c>
      <c r="L6" s="3" t="n">
        <v>62000</v>
      </c>
      <c r="M6" s="3" t="n">
        <v>62000</v>
      </c>
      <c r="N6" s="3" t="n">
        <v>62000</v>
      </c>
      <c r="O6" s="3" t="n">
        <v>62000</v>
      </c>
      <c r="P6" s="3" t="n">
        <v>62000</v>
      </c>
      <c r="Q6" s="3" t="n">
        <v>62000</v>
      </c>
      <c r="R6" s="3" t="n">
        <v>62000</v>
      </c>
      <c r="S6" s="3" t="n">
        <v>62000</v>
      </c>
      <c r="T6" s="3" t="n">
        <v>62000</v>
      </c>
      <c r="U6" s="3" t="n">
        <v>62000</v>
      </c>
      <c r="V6" s="3" t="n">
        <v>62000</v>
      </c>
      <c r="W6" s="3" t="n">
        <v>62000</v>
      </c>
      <c r="X6" s="3" t="n">
        <v>62000</v>
      </c>
      <c r="Y6" s="3" t="n">
        <v>62000</v>
      </c>
      <c r="Z6" s="3" t="n">
        <v>62000</v>
      </c>
    </row>
    <row r="7">
      <c r="A7" t="inlineStr">
        <is>
          <t>Portfolio income (dividends &amp; interest)</t>
        </is>
      </c>
      <c r="B7" t="inlineStr">
        <is>
          <t>270/275</t>
        </is>
      </c>
      <c r="C7" s="3" t="n">
        <v>3950000</v>
      </c>
      <c r="D7" s="3" t="n">
        <v>3950000</v>
      </c>
      <c r="E7" s="3" t="n">
        <v>3950000</v>
      </c>
      <c r="F7" s="3" t="n">
        <v>3950000</v>
      </c>
      <c r="G7" s="3" t="n">
        <v>3950000</v>
      </c>
      <c r="H7" s="3" t="n">
        <v>3950000</v>
      </c>
      <c r="I7" s="3" t="n">
        <v>3950000</v>
      </c>
      <c r="J7" s="3" t="n">
        <v>3950000</v>
      </c>
      <c r="K7" s="3" t="n">
        <v>3950000</v>
      </c>
      <c r="L7" s="3" t="n">
        <v>3950000</v>
      </c>
      <c r="M7" s="3" t="n">
        <v>3950000</v>
      </c>
      <c r="N7" s="3" t="n">
        <v>3950000</v>
      </c>
      <c r="O7" s="3" t="n">
        <v>4068500</v>
      </c>
      <c r="P7" s="3" t="n">
        <v>4068500</v>
      </c>
      <c r="Q7" s="3" t="n">
        <v>4068500</v>
      </c>
      <c r="R7" s="3" t="n">
        <v>4068500</v>
      </c>
      <c r="S7" s="3" t="n">
        <v>4068500</v>
      </c>
      <c r="T7" s="3" t="n">
        <v>4068500</v>
      </c>
      <c r="U7" s="3" t="n">
        <v>4068500</v>
      </c>
      <c r="V7" s="3" t="n">
        <v>4068500</v>
      </c>
      <c r="W7" s="3" t="n">
        <v>4068500</v>
      </c>
      <c r="X7" s="3" t="n">
        <v>4068500</v>
      </c>
      <c r="Y7" s="3" t="n">
        <v>4068500</v>
      </c>
      <c r="Z7" s="3" t="n">
        <v>4068500</v>
      </c>
    </row>
    <row r="8">
      <c r="A8" s="4" t="inlineStr">
        <is>
          <t>Total income</t>
        </is>
      </c>
      <c r="B8" s="4" t="inlineStr"/>
      <c r="C8" s="5">
        <f>SUM(C5:C7)</f>
        <v/>
      </c>
      <c r="D8" s="5">
        <f>SUM(D5:D7)</f>
        <v/>
      </c>
      <c r="E8" s="5">
        <f>SUM(E5:E7)</f>
        <v/>
      </c>
      <c r="F8" s="5">
        <f>SUM(F5:F7)</f>
        <v/>
      </c>
      <c r="G8" s="5">
        <f>SUM(G5:G7)</f>
        <v/>
      </c>
      <c r="H8" s="5">
        <f>SUM(H5:H7)</f>
        <v/>
      </c>
      <c r="I8" s="5">
        <f>SUM(I5:I7)</f>
        <v/>
      </c>
      <c r="J8" s="5">
        <f>SUM(J5:J7)</f>
        <v/>
      </c>
      <c r="K8" s="5">
        <f>SUM(K5:K7)</f>
        <v/>
      </c>
      <c r="L8" s="5">
        <f>SUM(L5:L7)</f>
        <v/>
      </c>
      <c r="M8" s="5">
        <f>SUM(M5:M7)</f>
        <v/>
      </c>
      <c r="N8" s="5">
        <f>SUM(N5:N7)</f>
        <v/>
      </c>
      <c r="O8" s="5">
        <f>SUM(O5:O7)</f>
        <v/>
      </c>
      <c r="P8" s="5">
        <f>SUM(P5:P7)</f>
        <v/>
      </c>
      <c r="Q8" s="5">
        <f>SUM(Q5:Q7)</f>
        <v/>
      </c>
      <c r="R8" s="5">
        <f>SUM(R5:R7)</f>
        <v/>
      </c>
      <c r="S8" s="5">
        <f>SUM(S5:S7)</f>
        <v/>
      </c>
      <c r="T8" s="5">
        <f>SUM(T5:T7)</f>
        <v/>
      </c>
      <c r="U8" s="5">
        <f>SUM(U5:U7)</f>
        <v/>
      </c>
      <c r="V8" s="5">
        <f>SUM(V5:V7)</f>
        <v/>
      </c>
      <c r="W8" s="5">
        <f>SUM(W5:W7)</f>
        <v/>
      </c>
      <c r="X8" s="5">
        <f>SUM(X5:X7)</f>
        <v/>
      </c>
      <c r="Y8" s="5">
        <f>SUM(Y5:Y7)</f>
        <v/>
      </c>
      <c r="Z8" s="5">
        <f>SUM(Z5:Z7)</f>
        <v/>
      </c>
    </row>
    <row r="9">
      <c r="A9" t="inlineStr">
        <is>
          <t>Staff (office &amp; household)</t>
        </is>
      </c>
      <c r="B9" t="inlineStr">
        <is>
          <t>477/478</t>
        </is>
      </c>
      <c r="C9" s="3" t="n">
        <v>455000</v>
      </c>
      <c r="D9" s="3" t="n">
        <v>455000</v>
      </c>
      <c r="E9" s="3" t="n">
        <v>455000</v>
      </c>
      <c r="F9" s="3" t="n">
        <v>455000</v>
      </c>
      <c r="G9" s="3" t="n">
        <v>455000</v>
      </c>
      <c r="H9" s="3" t="n">
        <v>455000</v>
      </c>
      <c r="I9" s="3" t="n">
        <v>455000</v>
      </c>
      <c r="J9" s="3" t="n">
        <v>455000</v>
      </c>
      <c r="K9" s="3" t="n">
        <v>455000</v>
      </c>
      <c r="L9" s="3" t="n">
        <v>455000</v>
      </c>
      <c r="M9" s="3" t="n">
        <v>455000</v>
      </c>
      <c r="N9" s="3" t="n">
        <v>455000</v>
      </c>
      <c r="O9" s="3" t="n">
        <v>473200</v>
      </c>
      <c r="P9" s="3" t="n">
        <v>473200</v>
      </c>
      <c r="Q9" s="3" t="n">
        <v>473200</v>
      </c>
      <c r="R9" s="3" t="n">
        <v>473200</v>
      </c>
      <c r="S9" s="3" t="n">
        <v>473200</v>
      </c>
      <c r="T9" s="3" t="n">
        <v>473200</v>
      </c>
      <c r="U9" s="3" t="n">
        <v>473200</v>
      </c>
      <c r="V9" s="3" t="n">
        <v>473200</v>
      </c>
      <c r="W9" s="3" t="n">
        <v>473200</v>
      </c>
      <c r="X9" s="3" t="n">
        <v>473200</v>
      </c>
      <c r="Y9" s="3" t="n">
        <v>473200</v>
      </c>
      <c r="Z9" s="3" t="n">
        <v>473200</v>
      </c>
    </row>
    <row r="10">
      <c r="A10" t="inlineStr">
        <is>
          <t>Property costs</t>
        </is>
      </c>
      <c r="B10" t="inlineStr">
        <is>
          <t>471/473/475</t>
        </is>
      </c>
      <c r="C10" s="3" t="n">
        <v>34000</v>
      </c>
      <c r="D10" s="3" t="n">
        <v>34000</v>
      </c>
      <c r="E10" s="3" t="n">
        <v>34000</v>
      </c>
      <c r="F10" s="3" t="n">
        <v>34000</v>
      </c>
      <c r="G10" s="3" t="n">
        <v>34000</v>
      </c>
      <c r="H10" s="3" t="n">
        <v>34000</v>
      </c>
      <c r="I10" s="3" t="n">
        <v>34000</v>
      </c>
      <c r="J10" s="3" t="n">
        <v>34000</v>
      </c>
      <c r="K10" s="3" t="n">
        <v>34000</v>
      </c>
      <c r="L10" s="3" t="n">
        <v>34000</v>
      </c>
      <c r="M10" s="3" t="n">
        <v>34000</v>
      </c>
      <c r="N10" s="3" t="n">
        <v>34000</v>
      </c>
      <c r="O10" s="3" t="n">
        <v>35000</v>
      </c>
      <c r="P10" s="3" t="n">
        <v>35000</v>
      </c>
      <c r="Q10" s="3" t="n">
        <v>35000</v>
      </c>
      <c r="R10" s="3" t="n">
        <v>35000</v>
      </c>
      <c r="S10" s="3" t="n">
        <v>35000</v>
      </c>
      <c r="T10" s="3" t="n">
        <v>35000</v>
      </c>
      <c r="U10" s="3" t="n">
        <v>35000</v>
      </c>
      <c r="V10" s="3" t="n">
        <v>35000</v>
      </c>
      <c r="W10" s="3" t="n">
        <v>35000</v>
      </c>
      <c r="X10" s="3" t="n">
        <v>35000</v>
      </c>
      <c r="Y10" s="3" t="n">
        <v>35000</v>
      </c>
      <c r="Z10" s="3" t="n">
        <v>35000</v>
      </c>
    </row>
    <row r="11">
      <c r="A11" t="inlineStr">
        <is>
          <t>Education</t>
        </is>
      </c>
      <c r="B11" t="inlineStr">
        <is>
          <t>481</t>
        </is>
      </c>
      <c r="C11" s="3" t="n">
        <v>52000</v>
      </c>
      <c r="D11" s="3" t="n">
        <v>52000</v>
      </c>
      <c r="E11" s="3" t="n">
        <v>52000</v>
      </c>
      <c r="F11" s="3" t="n">
        <v>52000</v>
      </c>
      <c r="G11" s="3" t="n">
        <v>52000</v>
      </c>
      <c r="H11" s="3" t="n">
        <v>52000</v>
      </c>
      <c r="I11" s="3" t="n">
        <v>52000</v>
      </c>
      <c r="J11" s="3" t="n">
        <v>52000</v>
      </c>
      <c r="K11" s="3" t="n">
        <v>52000</v>
      </c>
      <c r="L11" s="3" t="n">
        <v>52000</v>
      </c>
      <c r="M11" s="3" t="n">
        <v>52000</v>
      </c>
      <c r="N11" s="3" t="n">
        <v>52000</v>
      </c>
      <c r="O11" s="3" t="n">
        <v>54600</v>
      </c>
      <c r="P11" s="3" t="n">
        <v>54600</v>
      </c>
      <c r="Q11" s="3" t="n">
        <v>54600</v>
      </c>
      <c r="R11" s="3" t="n">
        <v>54600</v>
      </c>
      <c r="S11" s="3" t="n">
        <v>54600</v>
      </c>
      <c r="T11" s="3" t="n">
        <v>54600</v>
      </c>
      <c r="U11" s="3" t="n">
        <v>54600</v>
      </c>
      <c r="V11" s="3" t="n">
        <v>54600</v>
      </c>
      <c r="W11" s="3" t="n">
        <v>54600</v>
      </c>
      <c r="X11" s="3" t="n">
        <v>54600</v>
      </c>
      <c r="Y11" s="3" t="n">
        <v>54600</v>
      </c>
      <c r="Z11" s="3" t="n">
        <v>54600</v>
      </c>
    </row>
    <row r="12">
      <c r="A12" t="inlineStr">
        <is>
          <t>Travel &amp; aviation</t>
        </is>
      </c>
      <c r="B12" t="inlineStr">
        <is>
          <t>493</t>
        </is>
      </c>
      <c r="C12" s="3" t="n">
        <v>130000</v>
      </c>
      <c r="D12" s="3" t="n">
        <v>130000</v>
      </c>
      <c r="E12" s="3" t="n">
        <v>130000</v>
      </c>
      <c r="F12" s="3" t="n">
        <v>130000</v>
      </c>
      <c r="G12" s="3" t="n">
        <v>130000</v>
      </c>
      <c r="H12" s="3" t="n">
        <v>130000</v>
      </c>
      <c r="I12" s="3" t="n">
        <v>130000</v>
      </c>
      <c r="J12" s="3" t="n">
        <v>130000</v>
      </c>
      <c r="K12" s="3" t="n">
        <v>130000</v>
      </c>
      <c r="L12" s="3" t="n">
        <v>130000</v>
      </c>
      <c r="M12" s="3" t="n">
        <v>130000</v>
      </c>
      <c r="N12" s="3" t="n">
        <v>130000</v>
      </c>
      <c r="O12" s="3" t="n">
        <v>133900</v>
      </c>
      <c r="P12" s="3" t="n">
        <v>133900</v>
      </c>
      <c r="Q12" s="3" t="n">
        <v>133900</v>
      </c>
      <c r="R12" s="3" t="n">
        <v>133900</v>
      </c>
      <c r="S12" s="3" t="n">
        <v>133900</v>
      </c>
      <c r="T12" s="3" t="n">
        <v>133900</v>
      </c>
      <c r="U12" s="3" t="n">
        <v>133900</v>
      </c>
      <c r="V12" s="3" t="n">
        <v>133900</v>
      </c>
      <c r="W12" s="3" t="n">
        <v>133900</v>
      </c>
      <c r="X12" s="3" t="n">
        <v>133900</v>
      </c>
      <c r="Y12" s="3" t="n">
        <v>133900</v>
      </c>
      <c r="Z12" s="3" t="n">
        <v>133900</v>
      </c>
    </row>
    <row r="13">
      <c r="A13" t="inlineStr">
        <is>
          <t>Insurance</t>
        </is>
      </c>
      <c r="B13" t="inlineStr">
        <is>
          <t>433</t>
        </is>
      </c>
      <c r="C13" s="3" t="n">
        <v>23500</v>
      </c>
      <c r="D13" s="3" t="n">
        <v>23500</v>
      </c>
      <c r="E13" s="3" t="n">
        <v>23500</v>
      </c>
      <c r="F13" s="3" t="n">
        <v>23500</v>
      </c>
      <c r="G13" s="3" t="n">
        <v>23500</v>
      </c>
      <c r="H13" s="3" t="n">
        <v>23500</v>
      </c>
      <c r="I13" s="3" t="n">
        <v>23500</v>
      </c>
      <c r="J13" s="3" t="n">
        <v>23500</v>
      </c>
      <c r="K13" s="3" t="n">
        <v>23500</v>
      </c>
      <c r="L13" s="3" t="n">
        <v>23500</v>
      </c>
      <c r="M13" s="3" t="n">
        <v>23500</v>
      </c>
      <c r="N13" s="3" t="n">
        <v>23500</v>
      </c>
      <c r="O13" s="3" t="n">
        <v>24200</v>
      </c>
      <c r="P13" s="3" t="n">
        <v>24200</v>
      </c>
      <c r="Q13" s="3" t="n">
        <v>24200</v>
      </c>
      <c r="R13" s="3" t="n">
        <v>24200</v>
      </c>
      <c r="S13" s="3" t="n">
        <v>24200</v>
      </c>
      <c r="T13" s="3" t="n">
        <v>24200</v>
      </c>
      <c r="U13" s="3" t="n">
        <v>24200</v>
      </c>
      <c r="V13" s="3" t="n">
        <v>24200</v>
      </c>
      <c r="W13" s="3" t="n">
        <v>24200</v>
      </c>
      <c r="X13" s="3" t="n">
        <v>24200</v>
      </c>
      <c r="Y13" s="3" t="n">
        <v>24200</v>
      </c>
      <c r="Z13" s="3" t="n">
        <v>24200</v>
      </c>
    </row>
    <row r="14">
      <c r="A14" t="inlineStr">
        <is>
          <t>Professional fees</t>
        </is>
      </c>
      <c r="B14" t="inlineStr">
        <is>
          <t>412</t>
        </is>
      </c>
      <c r="C14" s="3" t="n">
        <v>38000</v>
      </c>
      <c r="D14" s="3" t="n">
        <v>38000</v>
      </c>
      <c r="E14" s="3" t="n">
        <v>38000</v>
      </c>
      <c r="F14" s="3" t="n">
        <v>38000</v>
      </c>
      <c r="G14" s="3" t="n">
        <v>38000</v>
      </c>
      <c r="H14" s="3" t="n">
        <v>38000</v>
      </c>
      <c r="I14" s="3" t="n">
        <v>38000</v>
      </c>
      <c r="J14" s="3" t="n">
        <v>38000</v>
      </c>
      <c r="K14" s="3" t="n">
        <v>38000</v>
      </c>
      <c r="L14" s="3" t="n">
        <v>38000</v>
      </c>
      <c r="M14" s="3" t="n">
        <v>38000</v>
      </c>
      <c r="N14" s="3" t="n">
        <v>38000</v>
      </c>
      <c r="O14" s="3" t="n">
        <v>39100</v>
      </c>
      <c r="P14" s="3" t="n">
        <v>39100</v>
      </c>
      <c r="Q14" s="3" t="n">
        <v>39100</v>
      </c>
      <c r="R14" s="3" t="n">
        <v>39100</v>
      </c>
      <c r="S14" s="3" t="n">
        <v>39100</v>
      </c>
      <c r="T14" s="3" t="n">
        <v>39100</v>
      </c>
      <c r="U14" s="3" t="n">
        <v>39100</v>
      </c>
      <c r="V14" s="3" t="n">
        <v>39100</v>
      </c>
      <c r="W14" s="3" t="n">
        <v>39100</v>
      </c>
      <c r="X14" s="3" t="n">
        <v>39100</v>
      </c>
      <c r="Y14" s="3" t="n">
        <v>39100</v>
      </c>
      <c r="Z14" s="3" t="n">
        <v>39100</v>
      </c>
    </row>
    <row r="15">
      <c r="A15" t="inlineStr">
        <is>
          <t>Fund management fees</t>
        </is>
      </c>
      <c r="B15" t="inlineStr">
        <is>
          <t>455</t>
        </is>
      </c>
      <c r="C15" s="3" t="n">
        <v>97500</v>
      </c>
      <c r="D15" s="3" t="n">
        <v>97500</v>
      </c>
      <c r="E15" s="3" t="n">
        <v>97500</v>
      </c>
      <c r="F15" s="3" t="n">
        <v>97500</v>
      </c>
      <c r="G15" s="3" t="n">
        <v>97500</v>
      </c>
      <c r="H15" s="3" t="n">
        <v>97500</v>
      </c>
      <c r="I15" s="3" t="n">
        <v>97500</v>
      </c>
      <c r="J15" s="3" t="n">
        <v>97500</v>
      </c>
      <c r="K15" s="3" t="n">
        <v>97500</v>
      </c>
      <c r="L15" s="3" t="n">
        <v>97500</v>
      </c>
      <c r="M15" s="3" t="n">
        <v>97500</v>
      </c>
      <c r="N15" s="3" t="n">
        <v>97500</v>
      </c>
      <c r="O15" s="3" t="n">
        <v>97500</v>
      </c>
      <c r="P15" s="3" t="n">
        <v>97500</v>
      </c>
      <c r="Q15" s="3" t="n">
        <v>97500</v>
      </c>
      <c r="R15" s="3" t="n">
        <v>97500</v>
      </c>
      <c r="S15" s="3" t="n">
        <v>97500</v>
      </c>
      <c r="T15" s="3" t="n">
        <v>97500</v>
      </c>
      <c r="U15" s="3" t="n">
        <v>97500</v>
      </c>
      <c r="V15" s="3" t="n">
        <v>97500</v>
      </c>
      <c r="W15" s="3" t="n">
        <v>97500</v>
      </c>
      <c r="X15" s="3" t="n">
        <v>97500</v>
      </c>
      <c r="Y15" s="3" t="n">
        <v>97500</v>
      </c>
      <c r="Z15" s="3" t="n">
        <v>97500</v>
      </c>
    </row>
    <row r="16">
      <c r="A16" t="inlineStr">
        <is>
          <t>Other office costs</t>
        </is>
      </c>
      <c r="B16" t="inlineStr">
        <is>
          <t>4xx</t>
        </is>
      </c>
      <c r="C16" s="3" t="n">
        <v>15500</v>
      </c>
      <c r="D16" s="3" t="n">
        <v>15500</v>
      </c>
      <c r="E16" s="3" t="n">
        <v>15500</v>
      </c>
      <c r="F16" s="3" t="n">
        <v>15500</v>
      </c>
      <c r="G16" s="3" t="n">
        <v>15500</v>
      </c>
      <c r="H16" s="3" t="n">
        <v>15500</v>
      </c>
      <c r="I16" s="3" t="n">
        <v>15500</v>
      </c>
      <c r="J16" s="3" t="n">
        <v>15500</v>
      </c>
      <c r="K16" s="3" t="n">
        <v>15500</v>
      </c>
      <c r="L16" s="3" t="n">
        <v>15500</v>
      </c>
      <c r="M16" s="3" t="n">
        <v>15500</v>
      </c>
      <c r="N16" s="3" t="n">
        <v>15500</v>
      </c>
      <c r="O16" s="3" t="n">
        <v>16000</v>
      </c>
      <c r="P16" s="3" t="n">
        <v>16000</v>
      </c>
      <c r="Q16" s="3" t="n">
        <v>16000</v>
      </c>
      <c r="R16" s="3" t="n">
        <v>16000</v>
      </c>
      <c r="S16" s="3" t="n">
        <v>16000</v>
      </c>
      <c r="T16" s="3" t="n">
        <v>16000</v>
      </c>
      <c r="U16" s="3" t="n">
        <v>16000</v>
      </c>
      <c r="V16" s="3" t="n">
        <v>16000</v>
      </c>
      <c r="W16" s="3" t="n">
        <v>16000</v>
      </c>
      <c r="X16" s="3" t="n">
        <v>16000</v>
      </c>
      <c r="Y16" s="3" t="n">
        <v>16000</v>
      </c>
      <c r="Z16" s="3" t="n">
        <v>16000</v>
      </c>
    </row>
    <row r="17">
      <c r="A17" s="4" t="inlineStr">
        <is>
          <t>Total expenses</t>
        </is>
      </c>
      <c r="B17" s="4" t="inlineStr"/>
      <c r="C17" s="5">
        <f>SUM(C9:C16)</f>
        <v/>
      </c>
      <c r="D17" s="5">
        <f>SUM(D9:D16)</f>
        <v/>
      </c>
      <c r="E17" s="5">
        <f>SUM(E9:E16)</f>
        <v/>
      </c>
      <c r="F17" s="5">
        <f>SUM(F9:F16)</f>
        <v/>
      </c>
      <c r="G17" s="5">
        <f>SUM(G9:G16)</f>
        <v/>
      </c>
      <c r="H17" s="5">
        <f>SUM(H9:H16)</f>
        <v/>
      </c>
      <c r="I17" s="5">
        <f>SUM(I9:I16)</f>
        <v/>
      </c>
      <c r="J17" s="5">
        <f>SUM(J9:J16)</f>
        <v/>
      </c>
      <c r="K17" s="5">
        <f>SUM(K9:K16)</f>
        <v/>
      </c>
      <c r="L17" s="5">
        <f>SUM(L9:L16)</f>
        <v/>
      </c>
      <c r="M17" s="5">
        <f>SUM(M9:M16)</f>
        <v/>
      </c>
      <c r="N17" s="5">
        <f>SUM(N9:N16)</f>
        <v/>
      </c>
      <c r="O17" s="5">
        <f>SUM(O9:O16)</f>
        <v/>
      </c>
      <c r="P17" s="5">
        <f>SUM(P9:P16)</f>
        <v/>
      </c>
      <c r="Q17" s="5">
        <f>SUM(Q9:Q16)</f>
        <v/>
      </c>
      <c r="R17" s="5">
        <f>SUM(R9:R16)</f>
        <v/>
      </c>
      <c r="S17" s="5">
        <f>SUM(S9:S16)</f>
        <v/>
      </c>
      <c r="T17" s="5">
        <f>SUM(T9:T16)</f>
        <v/>
      </c>
      <c r="U17" s="5">
        <f>SUM(U9:U16)</f>
        <v/>
      </c>
      <c r="V17" s="5">
        <f>SUM(V9:V16)</f>
        <v/>
      </c>
      <c r="W17" s="5">
        <f>SUM(W9:W16)</f>
        <v/>
      </c>
      <c r="X17" s="5">
        <f>SUM(X9:X16)</f>
        <v/>
      </c>
      <c r="Y17" s="5">
        <f>SUM(Y9:Y16)</f>
        <v/>
      </c>
      <c r="Z17" s="5">
        <f>SUM(Z9:Z16)</f>
        <v/>
      </c>
    </row>
    <row r="18">
      <c r="A18" s="4" t="inlineStr">
        <is>
          <t>Net cash from operations</t>
        </is>
      </c>
      <c r="B18" s="4" t="inlineStr"/>
      <c r="C18" s="5">
        <f>C8-C17</f>
        <v/>
      </c>
      <c r="D18" s="5">
        <f>D8-D17</f>
        <v/>
      </c>
      <c r="E18" s="5">
        <f>E8-E17</f>
        <v/>
      </c>
      <c r="F18" s="5">
        <f>F8-F17</f>
        <v/>
      </c>
      <c r="G18" s="5">
        <f>G8-G17</f>
        <v/>
      </c>
      <c r="H18" s="5">
        <f>H8-H17</f>
        <v/>
      </c>
      <c r="I18" s="5">
        <f>I8-I17</f>
        <v/>
      </c>
      <c r="J18" s="5">
        <f>J8-J17</f>
        <v/>
      </c>
      <c r="K18" s="5">
        <f>K8-K17</f>
        <v/>
      </c>
      <c r="L18" s="5">
        <f>L8-L17</f>
        <v/>
      </c>
      <c r="M18" s="5">
        <f>M8-M17</f>
        <v/>
      </c>
      <c r="N18" s="5">
        <f>N8-N17</f>
        <v/>
      </c>
      <c r="O18" s="5">
        <f>O8-O17</f>
        <v/>
      </c>
      <c r="P18" s="5">
        <f>P8-P17</f>
        <v/>
      </c>
      <c r="Q18" s="5">
        <f>Q8-Q17</f>
        <v/>
      </c>
      <c r="R18" s="5">
        <f>R8-R17</f>
        <v/>
      </c>
      <c r="S18" s="5">
        <f>S8-S17</f>
        <v/>
      </c>
      <c r="T18" s="5">
        <f>T8-T17</f>
        <v/>
      </c>
      <c r="U18" s="5">
        <f>U8-U17</f>
        <v/>
      </c>
      <c r="V18" s="5">
        <f>V8-V17</f>
        <v/>
      </c>
      <c r="W18" s="5">
        <f>W8-W17</f>
        <v/>
      </c>
      <c r="X18" s="5">
        <f>X8-X17</f>
        <v/>
      </c>
      <c r="Y18" s="5">
        <f>Y8-Y17</f>
        <v/>
      </c>
      <c r="Z18" s="5">
        <f>Z8-Z17</f>
        <v/>
      </c>
    </row>
    <row r="19">
      <c r="A19" t="inlineStr">
        <is>
          <t>Expected fund capital calls</t>
        </is>
      </c>
      <c r="B19" t="inlineStr">
        <is>
          <t>150</t>
        </is>
      </c>
      <c r="C19" s="3" t="n">
        <v>2600000</v>
      </c>
      <c r="D19" s="3" t="n">
        <v>2600000</v>
      </c>
      <c r="E19" s="3" t="n">
        <v>2600000</v>
      </c>
      <c r="F19" s="3" t="n">
        <v>2600000</v>
      </c>
      <c r="G19" s="3" t="n">
        <v>2600000</v>
      </c>
      <c r="H19" s="3" t="n">
        <v>2600000</v>
      </c>
      <c r="I19" s="3" t="n">
        <v>2600000</v>
      </c>
      <c r="J19" s="3" t="n">
        <v>2600000</v>
      </c>
      <c r="K19" s="3" t="n">
        <v>2600000</v>
      </c>
      <c r="L19" s="3" t="n">
        <v>2600000</v>
      </c>
      <c r="M19" s="3" t="n">
        <v>2600000</v>
      </c>
      <c r="N19" s="3" t="n">
        <v>2600000</v>
      </c>
      <c r="O19" s="3" t="n">
        <v>1820000</v>
      </c>
      <c r="P19" s="3" t="n">
        <v>1820000</v>
      </c>
      <c r="Q19" s="3" t="n">
        <v>1820000</v>
      </c>
      <c r="R19" s="3" t="n">
        <v>1820000</v>
      </c>
      <c r="S19" s="3" t="n">
        <v>1820000</v>
      </c>
      <c r="T19" s="3" t="n">
        <v>1820000</v>
      </c>
      <c r="U19" s="3" t="n">
        <v>1820000</v>
      </c>
      <c r="V19" s="3" t="n">
        <v>1820000</v>
      </c>
      <c r="W19" s="3" t="n">
        <v>1820000</v>
      </c>
      <c r="X19" s="3" t="n">
        <v>1820000</v>
      </c>
      <c r="Y19" s="3" t="n">
        <v>1820000</v>
      </c>
      <c r="Z19" s="3" t="n">
        <v>1820000</v>
      </c>
    </row>
    <row r="20">
      <c r="A20" s="4" t="inlineStr">
        <is>
          <t>Net cash after capital calls</t>
        </is>
      </c>
      <c r="B20" s="4" t="inlineStr"/>
      <c r="C20" s="5">
        <f>C18-C19</f>
        <v/>
      </c>
      <c r="D20" s="5">
        <f>D18-D19</f>
        <v/>
      </c>
      <c r="E20" s="5">
        <f>E18-E19</f>
        <v/>
      </c>
      <c r="F20" s="5">
        <f>F18-F19</f>
        <v/>
      </c>
      <c r="G20" s="5">
        <f>G18-G19</f>
        <v/>
      </c>
      <c r="H20" s="5">
        <f>H18-H19</f>
        <v/>
      </c>
      <c r="I20" s="5">
        <f>I18-I19</f>
        <v/>
      </c>
      <c r="J20" s="5">
        <f>J18-J19</f>
        <v/>
      </c>
      <c r="K20" s="5">
        <f>K18-K19</f>
        <v/>
      </c>
      <c r="L20" s="5">
        <f>L18-L19</f>
        <v/>
      </c>
      <c r="M20" s="5">
        <f>M18-M19</f>
        <v/>
      </c>
      <c r="N20" s="5">
        <f>N18-N19</f>
        <v/>
      </c>
      <c r="O20" s="5">
        <f>O18-O19</f>
        <v/>
      </c>
      <c r="P20" s="5">
        <f>P18-P19</f>
        <v/>
      </c>
      <c r="Q20" s="5">
        <f>Q18-Q19</f>
        <v/>
      </c>
      <c r="R20" s="5">
        <f>R18-R19</f>
        <v/>
      </c>
      <c r="S20" s="5">
        <f>S18-S19</f>
        <v/>
      </c>
      <c r="T20" s="5">
        <f>T18-T19</f>
        <v/>
      </c>
      <c r="U20" s="5">
        <f>U18-U19</f>
        <v/>
      </c>
      <c r="V20" s="5">
        <f>V18-V19</f>
        <v/>
      </c>
      <c r="W20" s="5">
        <f>W18-W19</f>
        <v/>
      </c>
      <c r="X20" s="5">
        <f>X18-X19</f>
        <v/>
      </c>
      <c r="Y20" s="5">
        <f>Y18-Y19</f>
        <v/>
      </c>
      <c r="Z20" s="5">
        <f>Z18-Z19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64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source</t>
        </is>
      </c>
    </row>
    <row r="2">
      <c r="A2" t="inlineStr">
        <is>
          <t>Portfolio income 2028</t>
        </is>
      </c>
      <c r="B2" t="inlineStr">
        <is>
          <t>+3%</t>
        </is>
      </c>
      <c r="C2" t="inlineStr">
        <is>
          <t>R. Ho email 14 Aug 2026</t>
        </is>
      </c>
    </row>
    <row r="3">
      <c r="A3" t="inlineStr">
        <is>
          <t>Headcount</t>
        </is>
      </c>
      <c r="B3" t="inlineStr">
        <is>
          <t>4 office + 6 household, flat</t>
        </is>
      </c>
      <c r="C3" t="inlineStr">
        <is>
          <t>R. Ho email 14 Aug 2026</t>
        </is>
      </c>
    </row>
    <row r="4">
      <c r="A4" t="inlineStr">
        <is>
          <t>Rental income - Flat 12A Repulse Bay 2027-2028</t>
        </is>
      </c>
      <c r="B4" t="inlineStr">
        <is>
          <t>HK$95,000/month flat</t>
        </is>
      </c>
      <c r="C4" t="inlineStr">
        <is>
          <t>Pending lease renewal; COMPANY.md; R. Ho email 14 Aug 2026</t>
        </is>
      </c>
    </row>
    <row r="5">
      <c r="A5" t="inlineStr">
        <is>
          <t>FX</t>
        </is>
      </c>
      <c r="B5" t="inlineStr">
        <is>
          <t>USD 7.80, RMB 1.08</t>
        </is>
      </c>
      <c r="C5" t="inlineStr">
        <is>
          <t>fx_rates.xlsx</t>
        </is>
      </c>
    </row>
    <row r="6">
      <c r="A6" t="inlineStr">
        <is>
          <t>Capital calls</t>
        </is>
      </c>
      <c r="B6" t="inlineStr">
        <is>
          <t>HK$2.6m/month 2027, -30% 2028</t>
        </is>
      </c>
      <c r="C6" t="inlineStr">
        <is>
          <t>commitments.xlsx; GP pacing guidance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Grace Lam</dc:creator>
  <dcterms:created xsi:type="dcterms:W3CDTF">2026-08-14T17:30:00Z</dcterms:created>
  <dcterms:modified xsi:type="dcterms:W3CDTF">2026-08-14T17:30:00Z</dcterms:modified>
  <cp:lastModifiedBy>Jason Yip</cp:lastModifiedBy>
</cp:coreProperties>
</file>