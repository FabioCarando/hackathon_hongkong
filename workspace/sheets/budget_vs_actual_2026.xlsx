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TD" sheetId="1" state="visible" r:id="rId1"/>
    <sheet name="Budget monthly" sheetId="2" state="visible" r:id="rId2"/>
    <sheet name="Actual 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Harbour Lane Trading Ltd - Budget vs Actual 2026, YTD Jan-Sep</t>
        </is>
      </c>
    </row>
    <row r="2">
      <c r="A2" t="inlineStr">
        <is>
          <t>Budget approved by D. Wong 20 Jan 2026. Actuals from GL export. Variance = Actual - Budget (expenses: positive = over budget).</t>
        </is>
      </c>
    </row>
    <row r="4">
      <c r="A4" s="2" t="inlineStr">
        <is>
          <t>code</t>
        </is>
      </c>
      <c r="B4" s="2" t="inlineStr">
        <is>
          <t>account</t>
        </is>
      </c>
      <c r="C4" s="2" t="inlineStr">
        <is>
          <t>group</t>
        </is>
      </c>
      <c r="D4" s="2" t="inlineStr">
        <is>
          <t>budget_ytd</t>
        </is>
      </c>
      <c r="E4" s="2" t="inlineStr">
        <is>
          <t>actual_ytd</t>
        </is>
      </c>
      <c r="F4" s="2" t="inlineStr">
        <is>
          <t>variance</t>
        </is>
      </c>
      <c r="G4" s="2" t="inlineStr">
        <is>
          <t>variance_pct</t>
        </is>
      </c>
    </row>
    <row r="5">
      <c r="A5" t="inlineStr">
        <is>
          <t>200</t>
        </is>
      </c>
      <c r="B5" t="inlineStr">
        <is>
          <t>Sales</t>
        </is>
      </c>
      <c r="C5" t="inlineStr">
        <is>
          <t>Revenue</t>
        </is>
      </c>
      <c r="D5" s="3" t="n">
        <v>12150000</v>
      </c>
      <c r="E5" s="3" t="n">
        <v>12477460</v>
      </c>
      <c r="F5" s="3">
        <f>E5-D5</f>
        <v/>
      </c>
      <c r="G5" s="4">
        <f>IF(D5=0,"",F5/D5)</f>
        <v/>
      </c>
    </row>
    <row r="6">
      <c r="A6" t="inlineStr">
        <is>
          <t>260</t>
        </is>
      </c>
      <c r="B6" t="inlineStr">
        <is>
          <t>Other Revenue</t>
        </is>
      </c>
      <c r="C6" t="inlineStr">
        <is>
          <t>Revenue</t>
        </is>
      </c>
      <c r="D6" s="3" t="n">
        <v>0</v>
      </c>
      <c r="E6" s="3" t="n">
        <v>0</v>
      </c>
      <c r="F6" s="3">
        <f>E6-D6</f>
        <v/>
      </c>
      <c r="G6" s="4">
        <f>IF(D6=0,"",F6/D6)</f>
        <v/>
      </c>
    </row>
    <row r="7">
      <c r="A7" t="inlineStr">
        <is>
          <t>270</t>
        </is>
      </c>
      <c r="B7" t="inlineStr">
        <is>
          <t>Interest Income</t>
        </is>
      </c>
      <c r="C7" t="inlineStr">
        <is>
          <t>Revenue</t>
        </is>
      </c>
      <c r="D7" s="3" t="n">
        <v>13500</v>
      </c>
      <c r="E7" s="3" t="n">
        <v>12613</v>
      </c>
      <c r="F7" s="3">
        <f>E7-D7</f>
        <v/>
      </c>
      <c r="G7" s="4">
        <f>IF(D7=0,"",F7/D7)</f>
        <v/>
      </c>
    </row>
    <row r="8">
      <c r="A8" t="inlineStr">
        <is>
          <t>310</t>
        </is>
      </c>
      <c r="B8" t="inlineStr">
        <is>
          <t>Cost of Goods Sold</t>
        </is>
      </c>
      <c r="C8" t="inlineStr">
        <is>
          <t>Cost of sales</t>
        </is>
      </c>
      <c r="D8" s="3" t="n">
        <v>5400000</v>
      </c>
      <c r="E8" s="3" t="n">
        <v>5536128.36</v>
      </c>
      <c r="F8" s="3">
        <f>E8-D8</f>
        <v/>
      </c>
      <c r="G8" s="4">
        <f>IF(D8=0,"",F8/D8)</f>
        <v/>
      </c>
    </row>
    <row r="9">
      <c r="A9" t="inlineStr">
        <is>
          <t>425</t>
        </is>
      </c>
      <c r="B9" t="inlineStr">
        <is>
          <t>Freight &amp; Courier</t>
        </is>
      </c>
      <c r="C9" t="inlineStr">
        <is>
          <t>Freight &amp; logistics</t>
        </is>
      </c>
      <c r="D9" s="3" t="n">
        <v>162000</v>
      </c>
      <c r="E9" s="3" t="n">
        <v>190275</v>
      </c>
      <c r="F9" s="3">
        <f>E9-D9</f>
        <v/>
      </c>
      <c r="G9" s="4">
        <f>IF(D9=0,"",F9/D9)</f>
        <v/>
      </c>
    </row>
    <row r="10">
      <c r="A10" t="inlineStr">
        <is>
          <t>445</t>
        </is>
      </c>
      <c r="B10" t="inlineStr">
        <is>
          <t>Utilities - Electricity</t>
        </is>
      </c>
      <c r="C10" t="inlineStr">
        <is>
          <t>Facilities</t>
        </is>
      </c>
      <c r="D10" s="3" t="n">
        <v>43200</v>
      </c>
      <c r="E10" s="3" t="n">
        <v>44672</v>
      </c>
      <c r="F10" s="3">
        <f>E10-D10</f>
        <v/>
      </c>
      <c r="G10" s="4">
        <f>IF(D10=0,"",F10/D10)</f>
        <v/>
      </c>
    </row>
    <row r="11">
      <c r="A11" t="inlineStr">
        <is>
          <t>469</t>
        </is>
      </c>
      <c r="B11" t="inlineStr">
        <is>
          <t>Rent</t>
        </is>
      </c>
      <c r="C11" t="inlineStr">
        <is>
          <t>Facilities</t>
        </is>
      </c>
      <c r="D11" s="3" t="n">
        <v>720000</v>
      </c>
      <c r="E11" s="3" t="n">
        <v>744000</v>
      </c>
      <c r="F11" s="3">
        <f>E11-D11</f>
        <v/>
      </c>
      <c r="G11" s="4">
        <f>IF(D11=0,"",F11/D11)</f>
        <v/>
      </c>
    </row>
    <row r="12">
      <c r="A12" t="inlineStr">
        <is>
          <t>471</t>
        </is>
      </c>
      <c r="B12" t="inlineStr">
        <is>
          <t>Building Management Fees</t>
        </is>
      </c>
      <c r="C12" t="inlineStr">
        <is>
          <t>Facilities</t>
        </is>
      </c>
      <c r="D12" s="3" t="n">
        <v>61200</v>
      </c>
      <c r="E12" s="3" t="n">
        <v>66000</v>
      </c>
      <c r="F12" s="3">
        <f>E12-D12</f>
        <v/>
      </c>
      <c r="G12" s="4">
        <f>IF(D12=0,"",F12/D12)</f>
        <v/>
      </c>
    </row>
    <row r="13">
      <c r="A13" t="inlineStr">
        <is>
          <t>473</t>
        </is>
      </c>
      <c r="B13" t="inlineStr">
        <is>
          <t>Repairs &amp; Maintenance</t>
        </is>
      </c>
      <c r="C13" t="inlineStr">
        <is>
          <t>Facilities</t>
        </is>
      </c>
      <c r="D13" s="3" t="n">
        <v>18000</v>
      </c>
      <c r="E13" s="3" t="n">
        <v>61500</v>
      </c>
      <c r="F13" s="3">
        <f>E13-D13</f>
        <v/>
      </c>
      <c r="G13" s="4">
        <f>IF(D13=0,"",F13/D13)</f>
        <v/>
      </c>
    </row>
    <row r="14">
      <c r="A14" t="inlineStr">
        <is>
          <t>477</t>
        </is>
      </c>
      <c r="B14" t="inlineStr">
        <is>
          <t>Salaries</t>
        </is>
      </c>
      <c r="C14" t="inlineStr">
        <is>
          <t>Staff</t>
        </is>
      </c>
      <c r="D14" s="3" t="n">
        <v>3888000</v>
      </c>
      <c r="E14" s="3" t="n">
        <v>3888000</v>
      </c>
      <c r="F14" s="3">
        <f>E14-D14</f>
        <v/>
      </c>
      <c r="G14" s="4">
        <f>IF(D14=0,"",F14/D14)</f>
        <v/>
      </c>
    </row>
    <row r="15">
      <c r="A15" t="inlineStr">
        <is>
          <t>478</t>
        </is>
      </c>
      <c r="B15" t="inlineStr">
        <is>
          <t>MPF Contributions</t>
        </is>
      </c>
      <c r="C15" t="inlineStr">
        <is>
          <t>Staff</t>
        </is>
      </c>
      <c r="D15" s="3" t="n">
        <v>237600</v>
      </c>
      <c r="E15" s="3" t="n">
        <v>237600</v>
      </c>
      <c r="F15" s="3">
        <f>E15-D15</f>
        <v/>
      </c>
      <c r="G15" s="4">
        <f>IF(D15=0,"",F15/D15)</f>
        <v/>
      </c>
    </row>
    <row r="16">
      <c r="A16" t="inlineStr">
        <is>
          <t>404</t>
        </is>
      </c>
      <c r="B16" t="inlineStr">
        <is>
          <t>Bank Fees</t>
        </is>
      </c>
      <c r="C16" t="inlineStr">
        <is>
          <t>Admin</t>
        </is>
      </c>
      <c r="D16" s="3" t="n">
        <v>4050</v>
      </c>
      <c r="E16" s="3" t="n">
        <v>5130</v>
      </c>
      <c r="F16" s="3">
        <f>E16-D16</f>
        <v/>
      </c>
      <c r="G16" s="4">
        <f>IF(D16=0,"",F16/D16)</f>
        <v/>
      </c>
    </row>
    <row r="17">
      <c r="A17" t="inlineStr">
        <is>
          <t>412</t>
        </is>
      </c>
      <c r="B17" t="inlineStr">
        <is>
          <t>Consulting &amp; Accounting</t>
        </is>
      </c>
      <c r="C17" t="inlineStr">
        <is>
          <t>Admin</t>
        </is>
      </c>
      <c r="D17" s="3" t="n">
        <v>45000</v>
      </c>
      <c r="E17" s="3" t="n">
        <v>45000</v>
      </c>
      <c r="F17" s="3">
        <f>E17-D17</f>
        <v/>
      </c>
      <c r="G17" s="4">
        <f>IF(D17=0,"",F17/D17)</f>
        <v/>
      </c>
    </row>
    <row r="18">
      <c r="A18" t="inlineStr">
        <is>
          <t>429</t>
        </is>
      </c>
      <c r="B18" t="inlineStr">
        <is>
          <t>General Expenses</t>
        </is>
      </c>
      <c r="C18" t="inlineStr">
        <is>
          <t>Admin</t>
        </is>
      </c>
      <c r="D18" s="3" t="n">
        <v>22500</v>
      </c>
      <c r="E18" s="3" t="n">
        <v>18100</v>
      </c>
      <c r="F18" s="3">
        <f>E18-D18</f>
        <v/>
      </c>
      <c r="G18" s="4">
        <f>IF(D18=0,"",F18/D18)</f>
        <v/>
      </c>
    </row>
    <row r="19">
      <c r="A19" t="inlineStr">
        <is>
          <t>433</t>
        </is>
      </c>
      <c r="B19" t="inlineStr">
        <is>
          <t>Insurance</t>
        </is>
      </c>
      <c r="C19" t="inlineStr">
        <is>
          <t>Admin</t>
        </is>
      </c>
      <c r="D19" s="3" t="n">
        <v>28800</v>
      </c>
      <c r="E19" s="3" t="n">
        <v>28800</v>
      </c>
      <c r="F19" s="3">
        <f>E19-D19</f>
        <v/>
      </c>
      <c r="G19" s="4">
        <f>IF(D19=0,"",F19/D19)</f>
        <v/>
      </c>
    </row>
    <row r="20">
      <c r="A20" t="inlineStr">
        <is>
          <t>485</t>
        </is>
      </c>
      <c r="B20" t="inlineStr">
        <is>
          <t>Software Subscriptions</t>
        </is>
      </c>
      <c r="C20" t="inlineStr">
        <is>
          <t>Admin</t>
        </is>
      </c>
      <c r="D20" s="3" t="n">
        <v>114300</v>
      </c>
      <c r="E20" s="3" t="n">
        <v>113742.5</v>
      </c>
      <c r="F20" s="3">
        <f>E20-D20</f>
        <v/>
      </c>
      <c r="G20" s="4">
        <f>IF(D20=0,"",F20/D20)</f>
        <v/>
      </c>
    </row>
    <row r="21">
      <c r="A21" t="inlineStr">
        <is>
          <t>489</t>
        </is>
      </c>
      <c r="B21" t="inlineStr">
        <is>
          <t>Telephone &amp; Internet</t>
        </is>
      </c>
      <c r="C21" t="inlineStr">
        <is>
          <t>Admin</t>
        </is>
      </c>
      <c r="D21" s="3" t="n">
        <v>17100</v>
      </c>
      <c r="E21" s="3" t="n">
        <v>16920</v>
      </c>
      <c r="F21" s="3">
        <f>E21-D21</f>
        <v/>
      </c>
      <c r="G21" s="4">
        <f>IF(D21=0,"",F21/D21)</f>
        <v/>
      </c>
    </row>
    <row r="22">
      <c r="A22" t="inlineStr">
        <is>
          <t>493</t>
        </is>
      </c>
      <c r="B22" t="inlineStr">
        <is>
          <t>Travel - Local &amp; Cross-border</t>
        </is>
      </c>
      <c r="C22" t="inlineStr">
        <is>
          <t>Admin</t>
        </is>
      </c>
      <c r="D22" s="3" t="n">
        <v>36000</v>
      </c>
      <c r="E22" s="3" t="n">
        <v>28800</v>
      </c>
      <c r="F22" s="3">
        <f>E22-D22</f>
        <v/>
      </c>
      <c r="G22" s="4">
        <f>IF(D22=0,"",F22/D22)</f>
        <v/>
      </c>
    </row>
    <row r="23">
      <c r="A23" t="inlineStr">
        <is>
          <t>497</t>
        </is>
      </c>
      <c r="B23" t="inlineStr">
        <is>
          <t>Foreign Exchange Gain/Loss</t>
        </is>
      </c>
      <c r="C23" t="inlineStr">
        <is>
          <t>Admin</t>
        </is>
      </c>
      <c r="D23" s="3" t="n">
        <v>0</v>
      </c>
      <c r="E23" s="3" t="n">
        <v>6032.44</v>
      </c>
      <c r="F23" s="3">
        <f>E23-D23</f>
        <v/>
      </c>
      <c r="G23" s="4">
        <f>IF(D23=0,"",F23/D23)</f>
        <v/>
      </c>
    </row>
    <row r="24">
      <c r="D24" s="3" t="n"/>
      <c r="E24" s="3" t="n"/>
      <c r="F24" s="3" t="n"/>
      <c r="G24" s="4" t="n"/>
    </row>
    <row r="25">
      <c r="B25" s="5" t="inlineStr">
        <is>
          <t>By group</t>
        </is>
      </c>
      <c r="D25" s="3" t="n"/>
      <c r="E25" s="3" t="n"/>
      <c r="F25" s="3" t="n"/>
      <c r="G25" s="4" t="n"/>
    </row>
    <row r="26">
      <c r="A26" t="inlineStr"/>
      <c r="B26" t="inlineStr">
        <is>
          <t>Revenue</t>
        </is>
      </c>
      <c r="C26" t="inlineStr">
        <is>
          <t>group total</t>
        </is>
      </c>
      <c r="D26" s="3">
        <f>SUMIF($C$5:$C$23,B26,D$5:D$23)</f>
        <v/>
      </c>
      <c r="E26" s="3">
        <f>SUMIF($C$5:$C$23,B26,E$5:E$23)</f>
        <v/>
      </c>
      <c r="F26" s="3">
        <f>E26-D26</f>
        <v/>
      </c>
      <c r="G26" s="4">
        <f>IF(D26=0,"",F26/D26)</f>
        <v/>
      </c>
    </row>
    <row r="27">
      <c r="A27" t="inlineStr"/>
      <c r="B27" t="inlineStr">
        <is>
          <t>Cost of sales</t>
        </is>
      </c>
      <c r="C27" t="inlineStr">
        <is>
          <t>group total</t>
        </is>
      </c>
      <c r="D27" s="3">
        <f>SUMIF($C$5:$C$23,B27,D$5:D$23)</f>
        <v/>
      </c>
      <c r="E27" s="3">
        <f>SUMIF($C$5:$C$23,B27,E$5:E$23)</f>
        <v/>
      </c>
      <c r="F27" s="3">
        <f>E27-D27</f>
        <v/>
      </c>
      <c r="G27" s="4">
        <f>IF(D27=0,"",F27/D27)</f>
        <v/>
      </c>
    </row>
    <row r="28">
      <c r="A28" t="inlineStr"/>
      <c r="B28" t="inlineStr">
        <is>
          <t>Freight &amp; logistics</t>
        </is>
      </c>
      <c r="C28" t="inlineStr">
        <is>
          <t>group total</t>
        </is>
      </c>
      <c r="D28" s="3">
        <f>SUMIF($C$5:$C$23,B28,D$5:D$23)</f>
        <v/>
      </c>
      <c r="E28" s="3">
        <f>SUMIF($C$5:$C$23,B28,E$5:E$23)</f>
        <v/>
      </c>
      <c r="F28" s="3">
        <f>E28-D28</f>
        <v/>
      </c>
      <c r="G28" s="4">
        <f>IF(D28=0,"",F28/D28)</f>
        <v/>
      </c>
    </row>
    <row r="29">
      <c r="A29" t="inlineStr"/>
      <c r="B29" t="inlineStr">
        <is>
          <t>Facilities</t>
        </is>
      </c>
      <c r="C29" t="inlineStr">
        <is>
          <t>group total</t>
        </is>
      </c>
      <c r="D29" s="3">
        <f>SUMIF($C$5:$C$23,B29,D$5:D$23)</f>
        <v/>
      </c>
      <c r="E29" s="3">
        <f>SUMIF($C$5:$C$23,B29,E$5:E$23)</f>
        <v/>
      </c>
      <c r="F29" s="3">
        <f>E29-D29</f>
        <v/>
      </c>
      <c r="G29" s="4">
        <f>IF(D29=0,"",F29/D29)</f>
        <v/>
      </c>
    </row>
    <row r="30">
      <c r="A30" t="inlineStr"/>
      <c r="B30" t="inlineStr">
        <is>
          <t>Staff</t>
        </is>
      </c>
      <c r="C30" t="inlineStr">
        <is>
          <t>group total</t>
        </is>
      </c>
      <c r="D30" s="3">
        <f>SUMIF($C$5:$C$23,B30,D$5:D$23)</f>
        <v/>
      </c>
      <c r="E30" s="3">
        <f>SUMIF($C$5:$C$23,B30,E$5:E$23)</f>
        <v/>
      </c>
      <c r="F30" s="3">
        <f>E30-D30</f>
        <v/>
      </c>
      <c r="G30" s="4">
        <f>IF(D30=0,"",F30/D30)</f>
        <v/>
      </c>
    </row>
    <row r="31">
      <c r="A31" t="inlineStr"/>
      <c r="B31" t="inlineStr">
        <is>
          <t>Admin</t>
        </is>
      </c>
      <c r="C31" t="inlineStr">
        <is>
          <t>group total</t>
        </is>
      </c>
      <c r="D31" s="3">
        <f>SUMIF($C$5:$C$23,B31,D$5:D$23)</f>
        <v/>
      </c>
      <c r="E31" s="3">
        <f>SUMIF($C$5:$C$23,B31,E$5:E$23)</f>
        <v/>
      </c>
      <c r="F31" s="3">
        <f>E31-D31</f>
        <v/>
      </c>
      <c r="G31" s="4">
        <f>IF(D31=0,"",F31/D31)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code</t>
        </is>
      </c>
      <c r="B1" s="2" t="inlineStr">
        <is>
          <t>account</t>
        </is>
      </c>
      <c r="C1" s="2" t="inlineStr">
        <is>
          <t>Jan</t>
        </is>
      </c>
      <c r="D1" s="2" t="inlineStr">
        <is>
          <t>Feb</t>
        </is>
      </c>
      <c r="E1" s="2" t="inlineStr">
        <is>
          <t>Mar</t>
        </is>
      </c>
      <c r="F1" s="2" t="inlineStr">
        <is>
          <t>Apr</t>
        </is>
      </c>
      <c r="G1" s="2" t="inlineStr">
        <is>
          <t>May</t>
        </is>
      </c>
      <c r="H1" s="2" t="inlineStr">
        <is>
          <t>Jun</t>
        </is>
      </c>
      <c r="I1" s="2" t="inlineStr">
        <is>
          <t>Jul</t>
        </is>
      </c>
      <c r="J1" s="2" t="inlineStr">
        <is>
          <t>Aug</t>
        </is>
      </c>
      <c r="K1" s="2" t="inlineStr">
        <is>
          <t>Sep</t>
        </is>
      </c>
      <c r="L1" s="2" t="inlineStr">
        <is>
          <t>Oct</t>
        </is>
      </c>
      <c r="M1" s="2" t="inlineStr">
        <is>
          <t>Nov</t>
        </is>
      </c>
      <c r="N1" s="2" t="inlineStr">
        <is>
          <t>Dec</t>
        </is>
      </c>
    </row>
    <row r="2">
      <c r="A2" t="inlineStr">
        <is>
          <t>200</t>
        </is>
      </c>
      <c r="B2" t="inlineStr">
        <is>
          <t>Sales</t>
        </is>
      </c>
      <c r="C2" t="n">
        <v>1350000</v>
      </c>
      <c r="D2" t="n">
        <v>1350000</v>
      </c>
      <c r="E2" t="n">
        <v>1350000</v>
      </c>
      <c r="F2" t="n">
        <v>1350000</v>
      </c>
      <c r="G2" t="n">
        <v>1350000</v>
      </c>
      <c r="H2" t="n">
        <v>1350000</v>
      </c>
      <c r="I2" t="n">
        <v>1350000</v>
      </c>
      <c r="J2" t="n">
        <v>1350000</v>
      </c>
      <c r="K2" t="n">
        <v>1350000</v>
      </c>
      <c r="L2" t="n">
        <v>1350000</v>
      </c>
      <c r="M2" t="n">
        <v>1350000</v>
      </c>
      <c r="N2" t="n">
        <v>1350000</v>
      </c>
    </row>
    <row r="3">
      <c r="A3" t="inlineStr">
        <is>
          <t>260</t>
        </is>
      </c>
      <c r="B3" t="inlineStr">
        <is>
          <t>Other Revenue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270</t>
        </is>
      </c>
      <c r="B4" t="inlineStr">
        <is>
          <t>Interest Income</t>
        </is>
      </c>
      <c r="C4" t="n">
        <v>1500</v>
      </c>
      <c r="D4" t="n">
        <v>1500</v>
      </c>
      <c r="E4" t="n">
        <v>1500</v>
      </c>
      <c r="F4" t="n">
        <v>1500</v>
      </c>
      <c r="G4" t="n">
        <v>1500</v>
      </c>
      <c r="H4" t="n">
        <v>1500</v>
      </c>
      <c r="I4" t="n">
        <v>1500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</row>
    <row r="5">
      <c r="A5" t="inlineStr">
        <is>
          <t>310</t>
        </is>
      </c>
      <c r="B5" t="inlineStr">
        <is>
          <t>Cost of Goods Sold</t>
        </is>
      </c>
      <c r="C5" t="n">
        <v>600000</v>
      </c>
      <c r="D5" t="n">
        <v>600000</v>
      </c>
      <c r="E5" t="n">
        <v>600000</v>
      </c>
      <c r="F5" t="n">
        <v>600000</v>
      </c>
      <c r="G5" t="n">
        <v>600000</v>
      </c>
      <c r="H5" t="n">
        <v>600000</v>
      </c>
      <c r="I5" t="n">
        <v>600000</v>
      </c>
      <c r="J5" t="n">
        <v>600000</v>
      </c>
      <c r="K5" t="n">
        <v>600000</v>
      </c>
      <c r="L5" t="n">
        <v>600000</v>
      </c>
      <c r="M5" t="n">
        <v>600000</v>
      </c>
      <c r="N5" t="n">
        <v>600000</v>
      </c>
    </row>
    <row r="6">
      <c r="A6" t="inlineStr">
        <is>
          <t>425</t>
        </is>
      </c>
      <c r="B6" t="inlineStr">
        <is>
          <t>Freight &amp; Courier</t>
        </is>
      </c>
      <c r="C6" t="n">
        <v>18000</v>
      </c>
      <c r="D6" t="n">
        <v>18000</v>
      </c>
      <c r="E6" t="n">
        <v>18000</v>
      </c>
      <c r="F6" t="n">
        <v>18000</v>
      </c>
      <c r="G6" t="n">
        <v>18000</v>
      </c>
      <c r="H6" t="n">
        <v>18000</v>
      </c>
      <c r="I6" t="n">
        <v>18000</v>
      </c>
      <c r="J6" t="n">
        <v>18000</v>
      </c>
      <c r="K6" t="n">
        <v>18000</v>
      </c>
      <c r="L6" t="n">
        <v>18000</v>
      </c>
      <c r="M6" t="n">
        <v>18000</v>
      </c>
      <c r="N6" t="n">
        <v>18000</v>
      </c>
    </row>
    <row r="7">
      <c r="A7" t="inlineStr">
        <is>
          <t>445</t>
        </is>
      </c>
      <c r="B7" t="inlineStr">
        <is>
          <t>Utilities - Electricity</t>
        </is>
      </c>
      <c r="C7" t="n">
        <v>4800</v>
      </c>
      <c r="D7" t="n">
        <v>4800</v>
      </c>
      <c r="E7" t="n">
        <v>4800</v>
      </c>
      <c r="F7" t="n">
        <v>4800</v>
      </c>
      <c r="G7" t="n">
        <v>4800</v>
      </c>
      <c r="H7" t="n">
        <v>4800</v>
      </c>
      <c r="I7" t="n">
        <v>4800</v>
      </c>
      <c r="J7" t="n">
        <v>4800</v>
      </c>
      <c r="K7" t="n">
        <v>4800</v>
      </c>
      <c r="L7" t="n">
        <v>4800</v>
      </c>
      <c r="M7" t="n">
        <v>4800</v>
      </c>
      <c r="N7" t="n">
        <v>4800</v>
      </c>
    </row>
    <row r="8">
      <c r="A8" t="inlineStr">
        <is>
          <t>469</t>
        </is>
      </c>
      <c r="B8" t="inlineStr">
        <is>
          <t>Rent</t>
        </is>
      </c>
      <c r="C8" t="n">
        <v>80000</v>
      </c>
      <c r="D8" t="n">
        <v>80000</v>
      </c>
      <c r="E8" t="n">
        <v>80000</v>
      </c>
      <c r="F8" t="n">
        <v>80000</v>
      </c>
      <c r="G8" t="n">
        <v>80000</v>
      </c>
      <c r="H8" t="n">
        <v>80000</v>
      </c>
      <c r="I8" t="n">
        <v>80000</v>
      </c>
      <c r="J8" t="n">
        <v>80000</v>
      </c>
      <c r="K8" t="n">
        <v>80000</v>
      </c>
      <c r="L8" t="n">
        <v>80000</v>
      </c>
      <c r="M8" t="n">
        <v>80000</v>
      </c>
      <c r="N8" t="n">
        <v>80000</v>
      </c>
    </row>
    <row r="9">
      <c r="A9" t="inlineStr">
        <is>
          <t>471</t>
        </is>
      </c>
      <c r="B9" t="inlineStr">
        <is>
          <t>Building Management Fees</t>
        </is>
      </c>
      <c r="C9" t="n">
        <v>6800</v>
      </c>
      <c r="D9" t="n">
        <v>6800</v>
      </c>
      <c r="E9" t="n">
        <v>6800</v>
      </c>
      <c r="F9" t="n">
        <v>6800</v>
      </c>
      <c r="G9" t="n">
        <v>6800</v>
      </c>
      <c r="H9" t="n">
        <v>6800</v>
      </c>
      <c r="I9" t="n">
        <v>6800</v>
      </c>
      <c r="J9" t="n">
        <v>6800</v>
      </c>
      <c r="K9" t="n">
        <v>6800</v>
      </c>
      <c r="L9" t="n">
        <v>6800</v>
      </c>
      <c r="M9" t="n">
        <v>6800</v>
      </c>
      <c r="N9" t="n">
        <v>6800</v>
      </c>
    </row>
    <row r="10">
      <c r="A10" t="inlineStr">
        <is>
          <t>473</t>
        </is>
      </c>
      <c r="B10" t="inlineStr">
        <is>
          <t>Repairs &amp; Maintenance</t>
        </is>
      </c>
      <c r="C10" t="n">
        <v>2000</v>
      </c>
      <c r="D10" t="n">
        <v>2000</v>
      </c>
      <c r="E10" t="n">
        <v>2000</v>
      </c>
      <c r="F10" t="n">
        <v>2000</v>
      </c>
      <c r="G10" t="n">
        <v>2000</v>
      </c>
      <c r="H10" t="n">
        <v>2000</v>
      </c>
      <c r="I10" t="n">
        <v>2000</v>
      </c>
      <c r="J10" t="n">
        <v>2000</v>
      </c>
      <c r="K10" t="n">
        <v>2000</v>
      </c>
      <c r="L10" t="n">
        <v>2000</v>
      </c>
      <c r="M10" t="n">
        <v>2000</v>
      </c>
      <c r="N10" t="n">
        <v>2000</v>
      </c>
    </row>
    <row r="11">
      <c r="A11" t="inlineStr">
        <is>
          <t>477</t>
        </is>
      </c>
      <c r="B11" t="inlineStr">
        <is>
          <t>Salaries</t>
        </is>
      </c>
      <c r="C11" t="n">
        <v>432000</v>
      </c>
      <c r="D11" t="n">
        <v>432000</v>
      </c>
      <c r="E11" t="n">
        <v>432000</v>
      </c>
      <c r="F11" t="n">
        <v>432000</v>
      </c>
      <c r="G11" t="n">
        <v>432000</v>
      </c>
      <c r="H11" t="n">
        <v>432000</v>
      </c>
      <c r="I11" t="n">
        <v>432000</v>
      </c>
      <c r="J11" t="n">
        <v>432000</v>
      </c>
      <c r="K11" t="n">
        <v>432000</v>
      </c>
      <c r="L11" t="n">
        <v>432000</v>
      </c>
      <c r="M11" t="n">
        <v>432000</v>
      </c>
      <c r="N11" t="n">
        <v>432000</v>
      </c>
    </row>
    <row r="12">
      <c r="A12" t="inlineStr">
        <is>
          <t>478</t>
        </is>
      </c>
      <c r="B12" t="inlineStr">
        <is>
          <t>MPF Contributions</t>
        </is>
      </c>
      <c r="C12" t="n">
        <v>26400</v>
      </c>
      <c r="D12" t="n">
        <v>26400</v>
      </c>
      <c r="E12" t="n">
        <v>26400</v>
      </c>
      <c r="F12" t="n">
        <v>26400</v>
      </c>
      <c r="G12" t="n">
        <v>26400</v>
      </c>
      <c r="H12" t="n">
        <v>26400</v>
      </c>
      <c r="I12" t="n">
        <v>26400</v>
      </c>
      <c r="J12" t="n">
        <v>26400</v>
      </c>
      <c r="K12" t="n">
        <v>26400</v>
      </c>
      <c r="L12" t="n">
        <v>26400</v>
      </c>
      <c r="M12" t="n">
        <v>26400</v>
      </c>
      <c r="N12" t="n">
        <v>26400</v>
      </c>
    </row>
    <row r="13">
      <c r="A13" t="inlineStr">
        <is>
          <t>404</t>
        </is>
      </c>
      <c r="B13" t="inlineStr">
        <is>
          <t>Bank Fees</t>
        </is>
      </c>
      <c r="C13" t="n">
        <v>450</v>
      </c>
      <c r="D13" t="n">
        <v>450</v>
      </c>
      <c r="E13" t="n">
        <v>450</v>
      </c>
      <c r="F13" t="n">
        <v>450</v>
      </c>
      <c r="G13" t="n">
        <v>450</v>
      </c>
      <c r="H13" t="n">
        <v>450</v>
      </c>
      <c r="I13" t="n">
        <v>450</v>
      </c>
      <c r="J13" t="n">
        <v>450</v>
      </c>
      <c r="K13" t="n">
        <v>450</v>
      </c>
      <c r="L13" t="n">
        <v>450</v>
      </c>
      <c r="M13" t="n">
        <v>450</v>
      </c>
      <c r="N13" t="n">
        <v>450</v>
      </c>
    </row>
    <row r="14">
      <c r="A14" t="inlineStr">
        <is>
          <t>412</t>
        </is>
      </c>
      <c r="B14" t="inlineStr">
        <is>
          <t>Consulting &amp; Accounting</t>
        </is>
      </c>
      <c r="C14" t="n">
        <v>0</v>
      </c>
      <c r="D14" t="n">
        <v>0</v>
      </c>
      <c r="E14" t="n">
        <v>45000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429</t>
        </is>
      </c>
      <c r="B15" t="inlineStr">
        <is>
          <t>General Expenses</t>
        </is>
      </c>
      <c r="C15" t="n">
        <v>2500</v>
      </c>
      <c r="D15" t="n">
        <v>2500</v>
      </c>
      <c r="E15" t="n">
        <v>2500</v>
      </c>
      <c r="F15" t="n">
        <v>2500</v>
      </c>
      <c r="G15" t="n">
        <v>2500</v>
      </c>
      <c r="H15" t="n">
        <v>2500</v>
      </c>
      <c r="I15" t="n">
        <v>2500</v>
      </c>
      <c r="J15" t="n">
        <v>2500</v>
      </c>
      <c r="K15" t="n">
        <v>2500</v>
      </c>
      <c r="L15" t="n">
        <v>2500</v>
      </c>
      <c r="M15" t="n">
        <v>2500</v>
      </c>
      <c r="N15" t="n">
        <v>2500</v>
      </c>
    </row>
    <row r="16">
      <c r="A16" t="inlineStr">
        <is>
          <t>433</t>
        </is>
      </c>
      <c r="B16" t="inlineStr">
        <is>
          <t>Insurance</t>
        </is>
      </c>
      <c r="C16" t="n">
        <v>28800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485</t>
        </is>
      </c>
      <c r="B17" t="inlineStr">
        <is>
          <t>Software Subscriptions</t>
        </is>
      </c>
      <c r="C17" t="n">
        <v>12700</v>
      </c>
      <c r="D17" t="n">
        <v>12700</v>
      </c>
      <c r="E17" t="n">
        <v>12700</v>
      </c>
      <c r="F17" t="n">
        <v>12700</v>
      </c>
      <c r="G17" t="n">
        <v>12700</v>
      </c>
      <c r="H17" t="n">
        <v>12700</v>
      </c>
      <c r="I17" t="n">
        <v>12700</v>
      </c>
      <c r="J17" t="n">
        <v>12700</v>
      </c>
      <c r="K17" t="n">
        <v>12700</v>
      </c>
      <c r="L17" t="n">
        <v>12700</v>
      </c>
      <c r="M17" t="n">
        <v>12700</v>
      </c>
      <c r="N17" t="n">
        <v>12700</v>
      </c>
    </row>
    <row r="18">
      <c r="A18" t="inlineStr">
        <is>
          <t>489</t>
        </is>
      </c>
      <c r="B18" t="inlineStr">
        <is>
          <t>Telephone &amp; Internet</t>
        </is>
      </c>
      <c r="C18" t="n">
        <v>1900</v>
      </c>
      <c r="D18" t="n">
        <v>1900</v>
      </c>
      <c r="E18" t="n">
        <v>1900</v>
      </c>
      <c r="F18" t="n">
        <v>1900</v>
      </c>
      <c r="G18" t="n">
        <v>1900</v>
      </c>
      <c r="H18" t="n">
        <v>1900</v>
      </c>
      <c r="I18" t="n">
        <v>1900</v>
      </c>
      <c r="J18" t="n">
        <v>1900</v>
      </c>
      <c r="K18" t="n">
        <v>1900</v>
      </c>
      <c r="L18" t="n">
        <v>1900</v>
      </c>
      <c r="M18" t="n">
        <v>1900</v>
      </c>
      <c r="N18" t="n">
        <v>1900</v>
      </c>
    </row>
    <row r="19">
      <c r="A19" t="inlineStr">
        <is>
          <t>493</t>
        </is>
      </c>
      <c r="B19" t="inlineStr">
        <is>
          <t>Travel - Local &amp; Cross-border</t>
        </is>
      </c>
      <c r="C19" t="n">
        <v>4000</v>
      </c>
      <c r="D19" t="n">
        <v>4000</v>
      </c>
      <c r="E19" t="n">
        <v>4000</v>
      </c>
      <c r="F19" t="n">
        <v>4000</v>
      </c>
      <c r="G19" t="n">
        <v>4000</v>
      </c>
      <c r="H19" t="n">
        <v>4000</v>
      </c>
      <c r="I19" t="n">
        <v>4000</v>
      </c>
      <c r="J19" t="n">
        <v>4000</v>
      </c>
      <c r="K19" t="n">
        <v>4000</v>
      </c>
      <c r="L19" t="n">
        <v>4000</v>
      </c>
      <c r="M19" t="n">
        <v>4000</v>
      </c>
      <c r="N19" t="n">
        <v>4000</v>
      </c>
    </row>
    <row r="20">
      <c r="A20" t="inlineStr">
        <is>
          <t>497</t>
        </is>
      </c>
      <c r="B20" t="inlineStr">
        <is>
          <t>Foreign Exchange Gain/Loss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code</t>
        </is>
      </c>
      <c r="B1" s="2" t="inlineStr">
        <is>
          <t>account</t>
        </is>
      </c>
      <c r="C1" s="2" t="inlineStr">
        <is>
          <t>Jan</t>
        </is>
      </c>
      <c r="D1" s="2" t="inlineStr">
        <is>
          <t>Feb</t>
        </is>
      </c>
      <c r="E1" s="2" t="inlineStr">
        <is>
          <t>Mar</t>
        </is>
      </c>
      <c r="F1" s="2" t="inlineStr">
        <is>
          <t>Apr</t>
        </is>
      </c>
      <c r="G1" s="2" t="inlineStr">
        <is>
          <t>May</t>
        </is>
      </c>
      <c r="H1" s="2" t="inlineStr">
        <is>
          <t>Jun</t>
        </is>
      </c>
      <c r="I1" s="2" t="inlineStr">
        <is>
          <t>Jul</t>
        </is>
      </c>
      <c r="J1" s="2" t="inlineStr">
        <is>
          <t>Aug</t>
        </is>
      </c>
      <c r="K1" s="2" t="inlineStr">
        <is>
          <t>Sep</t>
        </is>
      </c>
    </row>
    <row r="2">
      <c r="A2" t="inlineStr">
        <is>
          <t>200</t>
        </is>
      </c>
      <c r="B2" t="inlineStr">
        <is>
          <t>Sales</t>
        </is>
      </c>
      <c r="C2" t="n">
        <v>1337050</v>
      </c>
      <c r="D2" t="n">
        <v>1288980</v>
      </c>
      <c r="E2" t="n">
        <v>1332450</v>
      </c>
      <c r="F2" t="n">
        <v>1436050</v>
      </c>
      <c r="G2" t="n">
        <v>1480030</v>
      </c>
      <c r="H2" t="n">
        <v>1351400</v>
      </c>
      <c r="I2" t="n">
        <v>1456710</v>
      </c>
      <c r="J2" t="n">
        <v>1334750</v>
      </c>
      <c r="K2" t="n">
        <v>1460040</v>
      </c>
    </row>
    <row r="3">
      <c r="A3" t="inlineStr">
        <is>
          <t>260</t>
        </is>
      </c>
      <c r="B3" t="inlineStr">
        <is>
          <t>Other Revenue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270</t>
        </is>
      </c>
      <c r="B4" t="inlineStr">
        <is>
          <t>Interest Income</t>
        </is>
      </c>
      <c r="C4" t="n">
        <v>1657</v>
      </c>
      <c r="D4" t="n">
        <v>1580</v>
      </c>
      <c r="E4" t="n">
        <v>1638</v>
      </c>
      <c r="F4" t="n">
        <v>1107</v>
      </c>
      <c r="G4" t="n">
        <v>1315</v>
      </c>
      <c r="H4" t="n">
        <v>1782</v>
      </c>
      <c r="I4" t="n">
        <v>1223</v>
      </c>
      <c r="J4" t="n">
        <v>1162</v>
      </c>
      <c r="K4" t="n">
        <v>1149</v>
      </c>
    </row>
    <row r="5">
      <c r="A5" t="inlineStr">
        <is>
          <t>310</t>
        </is>
      </c>
      <c r="B5" t="inlineStr">
        <is>
          <t>Cost of Goods Sold</t>
        </is>
      </c>
      <c r="C5" t="n">
        <v>618094.9</v>
      </c>
      <c r="D5" t="n">
        <v>599650.8100000001</v>
      </c>
      <c r="E5" t="n">
        <v>663247.4300000001</v>
      </c>
      <c r="F5" t="n">
        <v>550908.84</v>
      </c>
      <c r="G5" t="n">
        <v>583486.89</v>
      </c>
      <c r="H5" t="n">
        <v>670807.5</v>
      </c>
      <c r="I5" t="n">
        <v>600922.9300000001</v>
      </c>
      <c r="J5" t="n">
        <v>613779.46</v>
      </c>
      <c r="K5" t="n">
        <v>635229.6</v>
      </c>
    </row>
    <row r="6">
      <c r="A6" t="inlineStr">
        <is>
          <t>425</t>
        </is>
      </c>
      <c r="B6" t="inlineStr">
        <is>
          <t>Freight &amp; Courier</t>
        </is>
      </c>
      <c r="C6" t="n">
        <v>22350</v>
      </c>
      <c r="D6" t="n">
        <v>16290</v>
      </c>
      <c r="E6" t="n">
        <v>22485</v>
      </c>
      <c r="F6" t="n">
        <v>16335</v>
      </c>
      <c r="G6" t="n">
        <v>11760</v>
      </c>
      <c r="H6" t="n">
        <v>16290</v>
      </c>
      <c r="I6" t="n">
        <v>23925</v>
      </c>
      <c r="J6" t="n">
        <v>33180</v>
      </c>
      <c r="K6" t="n">
        <v>27660</v>
      </c>
    </row>
    <row r="7">
      <c r="A7" t="inlineStr">
        <is>
          <t>445</t>
        </is>
      </c>
      <c r="B7" t="inlineStr">
        <is>
          <t>Utilities - Electricity</t>
        </is>
      </c>
      <c r="C7" t="n">
        <v>4388</v>
      </c>
      <c r="D7" t="n">
        <v>4342</v>
      </c>
      <c r="E7" t="n">
        <v>4363</v>
      </c>
      <c r="F7" t="n">
        <v>4006</v>
      </c>
      <c r="G7" t="n">
        <v>4293</v>
      </c>
      <c r="H7" t="n">
        <v>5981</v>
      </c>
      <c r="I7" t="n">
        <v>5775</v>
      </c>
      <c r="J7" t="n">
        <v>5705</v>
      </c>
      <c r="K7" t="n">
        <v>5819</v>
      </c>
    </row>
    <row r="8">
      <c r="A8" t="inlineStr">
        <is>
          <t>469</t>
        </is>
      </c>
      <c r="B8" t="inlineStr">
        <is>
          <t>Rent</t>
        </is>
      </c>
      <c r="C8" t="n">
        <v>80000</v>
      </c>
      <c r="D8" t="n">
        <v>80000</v>
      </c>
      <c r="E8" t="n">
        <v>80000</v>
      </c>
      <c r="F8" t="n">
        <v>80000</v>
      </c>
      <c r="G8" t="n">
        <v>80000</v>
      </c>
      <c r="H8" t="n">
        <v>80000</v>
      </c>
      <c r="I8" t="n">
        <v>80000</v>
      </c>
      <c r="J8" t="n">
        <v>92000</v>
      </c>
      <c r="K8" t="n">
        <v>92000</v>
      </c>
    </row>
    <row r="9">
      <c r="A9" t="inlineStr">
        <is>
          <t>471</t>
        </is>
      </c>
      <c r="B9" t="inlineStr">
        <is>
          <t>Building Management Fees</t>
        </is>
      </c>
      <c r="C9" t="n">
        <v>6800</v>
      </c>
      <c r="D9" t="n">
        <v>6800</v>
      </c>
      <c r="E9" t="n">
        <v>6800</v>
      </c>
      <c r="F9" t="n">
        <v>6800</v>
      </c>
      <c r="G9" t="n">
        <v>6800</v>
      </c>
      <c r="H9" t="n">
        <v>8000</v>
      </c>
      <c r="I9" t="n">
        <v>8000</v>
      </c>
      <c r="J9" t="n">
        <v>8000</v>
      </c>
      <c r="K9" t="n">
        <v>8000</v>
      </c>
    </row>
    <row r="10">
      <c r="A10" t="inlineStr">
        <is>
          <t>473</t>
        </is>
      </c>
      <c r="B10" t="inlineStr">
        <is>
          <t>Repairs &amp; Maintenance</t>
        </is>
      </c>
      <c r="C10" t="n">
        <v>1200</v>
      </c>
      <c r="D10" t="n">
        <v>1800</v>
      </c>
      <c r="E10" t="n">
        <v>1900</v>
      </c>
      <c r="F10" t="n">
        <v>1200</v>
      </c>
      <c r="G10" t="n">
        <v>1600</v>
      </c>
      <c r="H10" t="n">
        <v>1800</v>
      </c>
      <c r="I10" t="n">
        <v>39500</v>
      </c>
      <c r="J10" t="n">
        <v>1700</v>
      </c>
      <c r="K10" t="n">
        <v>10800</v>
      </c>
    </row>
    <row r="11">
      <c r="A11" t="inlineStr">
        <is>
          <t>477</t>
        </is>
      </c>
      <c r="B11" t="inlineStr">
        <is>
          <t>Salaries</t>
        </is>
      </c>
      <c r="C11" t="n">
        <v>432000</v>
      </c>
      <c r="D11" t="n">
        <v>432000</v>
      </c>
      <c r="E11" t="n">
        <v>432000</v>
      </c>
      <c r="F11" t="n">
        <v>432000</v>
      </c>
      <c r="G11" t="n">
        <v>432000</v>
      </c>
      <c r="H11" t="n">
        <v>432000</v>
      </c>
      <c r="I11" t="n">
        <v>432000</v>
      </c>
      <c r="J11" t="n">
        <v>432000</v>
      </c>
      <c r="K11" t="n">
        <v>432000</v>
      </c>
    </row>
    <row r="12">
      <c r="A12" t="inlineStr">
        <is>
          <t>478</t>
        </is>
      </c>
      <c r="B12" t="inlineStr">
        <is>
          <t>MPF Contributions</t>
        </is>
      </c>
      <c r="C12" t="n">
        <v>26400</v>
      </c>
      <c r="D12" t="n">
        <v>26400</v>
      </c>
      <c r="E12" t="n">
        <v>26400</v>
      </c>
      <c r="F12" t="n">
        <v>26400</v>
      </c>
      <c r="G12" t="n">
        <v>26400</v>
      </c>
      <c r="H12" t="n">
        <v>26400</v>
      </c>
      <c r="I12" t="n">
        <v>26400</v>
      </c>
      <c r="J12" t="n">
        <v>26400</v>
      </c>
      <c r="K12" t="n">
        <v>26400</v>
      </c>
    </row>
    <row r="13">
      <c r="A13" t="inlineStr">
        <is>
          <t>404</t>
        </is>
      </c>
      <c r="B13" t="inlineStr">
        <is>
          <t>Bank Fees</t>
        </is>
      </c>
      <c r="C13" t="n">
        <v>570</v>
      </c>
      <c r="D13" t="n">
        <v>570</v>
      </c>
      <c r="E13" t="n">
        <v>570</v>
      </c>
      <c r="F13" t="n">
        <v>570</v>
      </c>
      <c r="G13" t="n">
        <v>570</v>
      </c>
      <c r="H13" t="n">
        <v>570</v>
      </c>
      <c r="I13" t="n">
        <v>570</v>
      </c>
      <c r="J13" t="n">
        <v>570</v>
      </c>
      <c r="K13" t="n">
        <v>570</v>
      </c>
    </row>
    <row r="14">
      <c r="A14" t="inlineStr">
        <is>
          <t>412</t>
        </is>
      </c>
      <c r="B14" t="inlineStr">
        <is>
          <t>Consulting &amp; Accounting</t>
        </is>
      </c>
      <c r="C14" t="n">
        <v>0</v>
      </c>
      <c r="D14" t="n">
        <v>0</v>
      </c>
      <c r="E14" t="n">
        <v>45000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429</t>
        </is>
      </c>
      <c r="B15" t="inlineStr">
        <is>
          <t>General Expenses</t>
        </is>
      </c>
      <c r="C15" t="n">
        <v>1400</v>
      </c>
      <c r="D15" t="n">
        <v>1600</v>
      </c>
      <c r="E15" t="n">
        <v>1300</v>
      </c>
      <c r="F15" t="n">
        <v>2400</v>
      </c>
      <c r="G15" t="n">
        <v>1500</v>
      </c>
      <c r="H15" t="n">
        <v>1200</v>
      </c>
      <c r="I15" t="n">
        <v>3100</v>
      </c>
      <c r="J15" t="n">
        <v>3100</v>
      </c>
      <c r="K15" t="n">
        <v>2500</v>
      </c>
    </row>
    <row r="16">
      <c r="A16" t="inlineStr">
        <is>
          <t>433</t>
        </is>
      </c>
      <c r="B16" t="inlineStr">
        <is>
          <t>Insurance</t>
        </is>
      </c>
      <c r="C16" t="n">
        <v>28800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485</t>
        </is>
      </c>
      <c r="B17" t="inlineStr">
        <is>
          <t>Software Subscriptions</t>
        </is>
      </c>
      <c r="C17" t="n">
        <v>12615.5</v>
      </c>
      <c r="D17" t="n">
        <v>12644.5</v>
      </c>
      <c r="E17" t="n">
        <v>12659</v>
      </c>
      <c r="F17" t="n">
        <v>12630</v>
      </c>
      <c r="G17" t="n">
        <v>12615.5</v>
      </c>
      <c r="H17" t="n">
        <v>12644.5</v>
      </c>
      <c r="I17" t="n">
        <v>12659</v>
      </c>
      <c r="J17" t="n">
        <v>12644.5</v>
      </c>
      <c r="K17" t="n">
        <v>12630</v>
      </c>
    </row>
    <row r="18">
      <c r="A18" t="inlineStr">
        <is>
          <t>489</t>
        </is>
      </c>
      <c r="B18" t="inlineStr">
        <is>
          <t>Telephone &amp; Internet</t>
        </is>
      </c>
      <c r="C18" t="n">
        <v>1880</v>
      </c>
      <c r="D18" t="n">
        <v>1880</v>
      </c>
      <c r="E18" t="n">
        <v>1880</v>
      </c>
      <c r="F18" t="n">
        <v>1880</v>
      </c>
      <c r="G18" t="n">
        <v>1880</v>
      </c>
      <c r="H18" t="n">
        <v>1880</v>
      </c>
      <c r="I18" t="n">
        <v>1880</v>
      </c>
      <c r="J18" t="n">
        <v>1880</v>
      </c>
      <c r="K18" t="n">
        <v>1880</v>
      </c>
    </row>
    <row r="19">
      <c r="A19" t="inlineStr">
        <is>
          <t>493</t>
        </is>
      </c>
      <c r="B19" t="inlineStr">
        <is>
          <t>Travel - Local &amp; Cross-border</t>
        </is>
      </c>
      <c r="C19" t="n">
        <v>2400</v>
      </c>
      <c r="D19" t="n">
        <v>2300</v>
      </c>
      <c r="E19" t="n">
        <v>3200</v>
      </c>
      <c r="F19" t="n">
        <v>4500</v>
      </c>
      <c r="G19" t="n">
        <v>2100</v>
      </c>
      <c r="H19" t="n">
        <v>3300</v>
      </c>
      <c r="I19" t="n">
        <v>3300</v>
      </c>
      <c r="J19" t="n">
        <v>5400</v>
      </c>
      <c r="K19" t="n">
        <v>2300</v>
      </c>
    </row>
    <row r="20">
      <c r="A20" t="inlineStr">
        <is>
          <t>497</t>
        </is>
      </c>
      <c r="B20" t="inlineStr">
        <is>
          <t>Foreign Exchange Gain/Loss</t>
        </is>
      </c>
      <c r="C20" t="n">
        <v>-297.16</v>
      </c>
      <c r="D20" t="n">
        <v>2789.3</v>
      </c>
      <c r="E20" t="n">
        <v>2615.4</v>
      </c>
      <c r="F20" t="n">
        <v>-952.83</v>
      </c>
      <c r="G20" t="n">
        <v>-2532.42</v>
      </c>
      <c r="H20" t="n">
        <v>1237.38</v>
      </c>
      <c r="I20" t="n">
        <v>3477.4</v>
      </c>
      <c r="J20" t="n">
        <v>1001.4</v>
      </c>
      <c r="K20" t="n">
        <v>-1306.03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Anna Chan</dc:creator>
  <dcterms:created xsi:type="dcterms:W3CDTF">2026-10-02T10:30:00Z</dcterms:created>
  <dcterms:modified xsi:type="dcterms:W3CDTF">2026-10-02T10:30:00Z</dcterms:modified>
  <cp:lastModifiedBy>Ken Lau</cp:lastModifiedBy>
</cp:coreProperties>
</file>