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>
    <definedName name="_xlnm._FilterDatabase" localSheetId="0" hidden="1">'Register'!$A$1:$L$10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6" customWidth="1" min="3" max="3"/>
    <col width="18" customWidth="1" min="4" max="4"/>
    <col width="9" customWidth="1" min="5" max="5"/>
    <col width="16" customWidth="1" min="6" max="6"/>
    <col width="8" customWidth="1" min="7" max="7"/>
    <col width="16" customWidth="1" min="8" max="8"/>
    <col width="12" customWidth="1" min="9" max="9"/>
    <col width="11" customWidth="1" min="10" max="10"/>
    <col width="10" customWidth="1" min="11" max="11"/>
    <col width="56" customWidth="1" min="12" max="12"/>
  </cols>
  <sheetData>
    <row r="1">
      <c r="A1" s="1" t="inlineStr">
        <is>
          <t>date</t>
        </is>
      </c>
      <c r="B1" s="1" t="inlineStr">
        <is>
          <t>supplier_id</t>
        </is>
      </c>
      <c r="C1" s="1" t="inlineStr">
        <is>
          <t>supplier</t>
        </is>
      </c>
      <c r="D1" s="1" t="inlineStr">
        <is>
          <t>invoice_no</t>
        </is>
      </c>
      <c r="E1" s="1" t="inlineStr">
        <is>
          <t>currency</t>
        </is>
      </c>
      <c r="F1" s="1" t="inlineStr">
        <is>
          <t>amount</t>
        </is>
      </c>
      <c r="G1" s="1" t="inlineStr">
        <is>
          <t>fx_rate</t>
        </is>
      </c>
      <c r="H1" s="1" t="inlineStr">
        <is>
          <t>amount_hkd</t>
        </is>
      </c>
      <c r="I1" s="1" t="inlineStr">
        <is>
          <t>account_code</t>
        </is>
      </c>
      <c r="J1" s="1" t="inlineStr">
        <is>
          <t>due_date</t>
        </is>
      </c>
      <c r="K1" s="1" t="inlineStr">
        <is>
          <t>status</t>
        </is>
      </c>
      <c r="L1" s="1" t="inlineStr">
        <is>
          <t>source_file</t>
        </is>
      </c>
    </row>
    <row r="2">
      <c r="A2" s="2" t="n">
        <v>46204</v>
      </c>
      <c r="B2" t="inlineStr">
        <is>
          <t>S02</t>
        </is>
      </c>
      <c r="C2" t="inlineStr">
        <is>
          <t>Harbourview Capital Partners III LP</t>
        </is>
      </c>
      <c r="D2" t="inlineStr">
        <is>
          <t>HCP3-MF-2026Q3</t>
        </is>
      </c>
      <c r="E2" t="inlineStr">
        <is>
          <t>USD</t>
        </is>
      </c>
      <c r="F2" s="3" t="n">
        <v>37500</v>
      </c>
      <c r="G2" s="4" t="n">
        <v>7.82</v>
      </c>
      <c r="H2" s="3">
        <f>ROUND(F2*G2,2)</f>
        <v/>
      </c>
      <c r="I2" t="inlineStr">
        <is>
          <t>455</t>
        </is>
      </c>
      <c r="J2" s="2" t="n">
        <v>46234</v>
      </c>
      <c r="K2" t="inlineStr">
        <is>
          <t>Paid</t>
        </is>
      </c>
      <c r="L2" t="inlineStr">
        <is>
          <t>docs/invoices/2026-07/Harbourview fee HCP3-MF-2026Q3.pdf</t>
        </is>
      </c>
    </row>
    <row r="3">
      <c r="A3" s="2" t="n">
        <v>46204</v>
      </c>
      <c r="B3" t="inlineStr">
        <is>
          <t>S05</t>
        </is>
      </c>
      <c r="C3" t="inlineStr">
        <is>
          <t>Meridian Fine Art Insurance Ltd</t>
        </is>
      </c>
      <c r="D3" t="inlineStr">
        <is>
          <t>MAI-10099</t>
        </is>
      </c>
      <c r="E3" t="inlineStr">
        <is>
          <t>USD</t>
        </is>
      </c>
      <c r="F3" s="3" t="n">
        <v>2450</v>
      </c>
      <c r="G3" s="4" t="n">
        <v>7.82</v>
      </c>
      <c r="H3" s="3">
        <f>ROUND(F3*G3,2)</f>
        <v/>
      </c>
      <c r="I3" t="inlineStr">
        <is>
          <t>433</t>
        </is>
      </c>
      <c r="J3" s="2" t="n">
        <v>46219</v>
      </c>
      <c r="K3" t="inlineStr">
        <is>
          <t>Paid</t>
        </is>
      </c>
      <c r="L3" t="inlineStr">
        <is>
          <t>docs/invoices/2026-07/Meridian MAI-10099.pdf</t>
        </is>
      </c>
    </row>
    <row r="4">
      <c r="A4" s="2" t="n">
        <v>46206</v>
      </c>
      <c r="B4" t="inlineStr">
        <is>
          <t>S03</t>
        </is>
      </c>
      <c r="C4" t="inlineStr">
        <is>
          <t>Peak Estates Property Management Ltd</t>
        </is>
      </c>
      <c r="D4" t="inlineStr">
        <is>
          <t>INV-PM-2204</t>
        </is>
      </c>
      <c r="E4" t="inlineStr">
        <is>
          <t>HKD</t>
        </is>
      </c>
      <c r="F4" s="3" t="n">
        <v>23200</v>
      </c>
      <c r="G4" s="4" t="n">
        <v>1</v>
      </c>
      <c r="H4" s="3">
        <f>ROUND(F4*G4,2)</f>
        <v/>
      </c>
      <c r="I4" t="inlineStr">
        <is>
          <t>471</t>
        </is>
      </c>
      <c r="J4" s="2" t="n">
        <v>46236</v>
      </c>
      <c r="K4" t="inlineStr">
        <is>
          <t>Paid</t>
        </is>
      </c>
      <c r="L4" t="inlineStr">
        <is>
          <t>docs/invoices/2026-07/Peak Estates INV-PM-2204.pdf</t>
        </is>
      </c>
    </row>
    <row r="5">
      <c r="A5" s="2" t="n">
        <v>46211</v>
      </c>
      <c r="B5" t="inlineStr">
        <is>
          <t>S01</t>
        </is>
      </c>
      <c r="C5" t="inlineStr">
        <is>
          <t>Pearl River Growth Fund II LP</t>
        </is>
      </c>
      <c r="D5" t="inlineStr">
        <is>
          <t>PRG2-DN-017</t>
        </is>
      </c>
      <c r="E5" t="inlineStr">
        <is>
          <t>RMB</t>
        </is>
      </c>
      <c r="F5" s="3" t="n">
        <v>3000000</v>
      </c>
      <c r="G5" s="4" t="n">
        <v>1.083</v>
      </c>
      <c r="H5" s="3">
        <f>ROUND(F5*G5,2)</f>
        <v/>
      </c>
      <c r="I5" t="inlineStr">
        <is>
          <t>150</t>
        </is>
      </c>
      <c r="J5" s="2" t="n">
        <v>46225</v>
      </c>
      <c r="K5" t="inlineStr">
        <is>
          <t>Paid</t>
        </is>
      </c>
      <c r="L5" t="inlineStr">
        <is>
          <t>docs/invoices/2026-07/Pearl River call PRG2-DN-017.pdf</t>
        </is>
      </c>
    </row>
    <row r="6">
      <c r="A6" s="2" t="n">
        <v>46237</v>
      </c>
      <c r="B6" t="inlineStr">
        <is>
          <t>S03</t>
        </is>
      </c>
      <c r="C6" t="inlineStr">
        <is>
          <t>Peak Estates Property Management Ltd</t>
        </is>
      </c>
      <c r="D6" t="inlineStr">
        <is>
          <t>INV-PM-2247</t>
        </is>
      </c>
      <c r="E6" t="inlineStr">
        <is>
          <t>HKD</t>
        </is>
      </c>
      <c r="F6" s="3" t="n">
        <v>17300</v>
      </c>
      <c r="G6" s="4" t="n">
        <v>1</v>
      </c>
      <c r="H6" s="3">
        <f>ROUND(F6*G6,2)</f>
        <v/>
      </c>
      <c r="I6" t="inlineStr">
        <is>
          <t>471</t>
        </is>
      </c>
      <c r="J6" s="2" t="n">
        <v>46267</v>
      </c>
      <c r="K6" t="inlineStr">
        <is>
          <t>Paid</t>
        </is>
      </c>
      <c r="L6" t="inlineStr">
        <is>
          <t>docs/invoices/2026-08/Peak Estates INV-PM-2247.pdf</t>
        </is>
      </c>
    </row>
    <row r="7">
      <c r="A7" s="2" t="n">
        <v>46237</v>
      </c>
      <c r="B7" t="inlineStr">
        <is>
          <t>S05</t>
        </is>
      </c>
      <c r="C7" t="inlineStr">
        <is>
          <t>Meridian Fine Art Insurance Ltd</t>
        </is>
      </c>
      <c r="D7" t="inlineStr">
        <is>
          <t>MAI-10110</t>
        </is>
      </c>
      <c r="E7" t="inlineStr">
        <is>
          <t>USD</t>
        </is>
      </c>
      <c r="F7" s="3" t="n">
        <v>2450</v>
      </c>
      <c r="G7" s="4" t="n">
        <v>7.81</v>
      </c>
      <c r="H7" s="3">
        <f>ROUND(F7*G7,2)</f>
        <v/>
      </c>
      <c r="I7" t="inlineStr">
        <is>
          <t>433</t>
        </is>
      </c>
      <c r="J7" s="2" t="n">
        <v>46252</v>
      </c>
      <c r="K7" t="inlineStr">
        <is>
          <t>Paid</t>
        </is>
      </c>
      <c r="L7" t="inlineStr">
        <is>
          <t>docs/invoices/2026-08/Meridian MAI-10110.pdf</t>
        </is>
      </c>
    </row>
    <row r="8">
      <c r="A8" s="2" t="n">
        <v>46248</v>
      </c>
      <c r="B8" t="inlineStr">
        <is>
          <t>S02</t>
        </is>
      </c>
      <c r="C8" t="inlineStr">
        <is>
          <t>Harbourview Capital Partners III LP</t>
        </is>
      </c>
      <c r="D8" t="inlineStr">
        <is>
          <t>HCP3-CN-2026-03</t>
        </is>
      </c>
      <c r="E8" t="inlineStr">
        <is>
          <t>USD</t>
        </is>
      </c>
      <c r="F8" s="3" t="n">
        <v>500000</v>
      </c>
      <c r="G8" s="4" t="n">
        <v>7.81</v>
      </c>
      <c r="H8" s="3">
        <f>ROUND(F8*G8,2)</f>
        <v/>
      </c>
      <c r="I8" t="inlineStr">
        <is>
          <t>150</t>
        </is>
      </c>
      <c r="J8" s="2" t="n">
        <v>46258</v>
      </c>
      <c r="K8" t="inlineStr">
        <is>
          <t>Paid</t>
        </is>
      </c>
      <c r="L8" t="inlineStr">
        <is>
          <t>docs/invoices/2026-08/Harbourview call HCP3-CN-2026-03.pdf</t>
        </is>
      </c>
    </row>
    <row r="9">
      <c r="A9" s="2" t="n">
        <v>46266</v>
      </c>
      <c r="B9" t="inlineStr">
        <is>
          <t>S03</t>
        </is>
      </c>
      <c r="C9" t="inlineStr">
        <is>
          <t>Peak Estates Property Management Ltd</t>
        </is>
      </c>
      <c r="D9" t="inlineStr">
        <is>
          <t>INV-PM-2291</t>
        </is>
      </c>
      <c r="E9" t="inlineStr">
        <is>
          <t>HKD</t>
        </is>
      </c>
      <c r="F9" s="3" t="n">
        <v>23200</v>
      </c>
      <c r="G9" s="4" t="n">
        <v>1</v>
      </c>
      <c r="H9" s="3">
        <f>ROUND(F9*G9,2)</f>
        <v/>
      </c>
      <c r="I9" t="inlineStr">
        <is>
          <t>471</t>
        </is>
      </c>
      <c r="J9" s="2" t="n">
        <v>46296</v>
      </c>
      <c r="K9" t="inlineStr">
        <is>
          <t>Approved</t>
        </is>
      </c>
      <c r="L9" t="inlineStr">
        <is>
          <t>docs/invoices/2026-09/Peak Estates INV-PM-2291.pdf</t>
        </is>
      </c>
    </row>
    <row r="10">
      <c r="A10" s="2" t="n">
        <v>46266</v>
      </c>
      <c r="B10" t="inlineStr">
        <is>
          <t>S05</t>
        </is>
      </c>
      <c r="C10" t="inlineStr">
        <is>
          <t>Meridian Fine Art Insurance Ltd</t>
        </is>
      </c>
      <c r="D10" t="inlineStr">
        <is>
          <t>MAI-10121</t>
        </is>
      </c>
      <c r="E10" t="inlineStr">
        <is>
          <t>USD</t>
        </is>
      </c>
      <c r="F10" s="3" t="n">
        <v>2450</v>
      </c>
      <c r="G10" s="4" t="n">
        <v>7.8</v>
      </c>
      <c r="H10" s="3">
        <f>ROUND(F10*G10,2)</f>
        <v/>
      </c>
      <c r="I10" t="inlineStr">
        <is>
          <t>433</t>
        </is>
      </c>
      <c r="J10" s="2" t="n">
        <v>46281</v>
      </c>
      <c r="K10" t="inlineStr">
        <is>
          <t>Paid</t>
        </is>
      </c>
      <c r="L10" t="inlineStr">
        <is>
          <t>docs/invoices/2026-09/Meridian MAI-10121.pdf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Grace Lam</dc:creator>
  <dcterms:created xsi:type="dcterms:W3CDTF">2026-10-02T10:30:00Z</dcterms:created>
  <dcterms:modified xsi:type="dcterms:W3CDTF">2026-10-02T10:30:00Z</dcterms:modified>
  <cp:lastModifiedBy>Jason Yip</cp:lastModifiedBy>
</cp:coreProperties>
</file>