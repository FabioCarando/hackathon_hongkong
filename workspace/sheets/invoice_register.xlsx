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er" sheetId="1" state="visible" r:id="rId1"/>
  </sheets>
  <definedNames>
    <definedName name="_xlnm._FilterDatabase" localSheetId="0" hidden="1">'Register'!$A$1:$L$18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16" customWidth="1" min="4" max="4"/>
    <col width="9" customWidth="1" min="5" max="5"/>
    <col width="14" customWidth="1" min="6" max="6"/>
    <col width="8" customWidth="1" min="7" max="7"/>
    <col width="14" customWidth="1" min="8" max="8"/>
    <col width="12" customWidth="1" min="9" max="9"/>
    <col width="11" customWidth="1" min="10" max="10"/>
    <col width="10" customWidth="1" min="11" max="11"/>
    <col width="52" customWidth="1" min="12" max="12"/>
  </cols>
  <sheetData>
    <row r="1">
      <c r="A1" s="1" t="inlineStr">
        <is>
          <t>date</t>
        </is>
      </c>
      <c r="B1" s="1" t="inlineStr">
        <is>
          <t>supplier_id</t>
        </is>
      </c>
      <c r="C1" s="1" t="inlineStr">
        <is>
          <t>supplier</t>
        </is>
      </c>
      <c r="D1" s="1" t="inlineStr">
        <is>
          <t>invoice_no</t>
        </is>
      </c>
      <c r="E1" s="1" t="inlineStr">
        <is>
          <t>currency</t>
        </is>
      </c>
      <c r="F1" s="1" t="inlineStr">
        <is>
          <t>amount</t>
        </is>
      </c>
      <c r="G1" s="1" t="inlineStr">
        <is>
          <t>fx_rate</t>
        </is>
      </c>
      <c r="H1" s="1" t="inlineStr">
        <is>
          <t>amount_hkd</t>
        </is>
      </c>
      <c r="I1" s="1" t="inlineStr">
        <is>
          <t>account_code</t>
        </is>
      </c>
      <c r="J1" s="1" t="inlineStr">
        <is>
          <t>due_date</t>
        </is>
      </c>
      <c r="K1" s="1" t="inlineStr">
        <is>
          <t>status</t>
        </is>
      </c>
      <c r="L1" s="1" t="inlineStr">
        <is>
          <t>source_file</t>
        </is>
      </c>
    </row>
    <row r="2">
      <c r="A2" s="2" t="n">
        <v>46204</v>
      </c>
      <c r="B2" t="inlineStr">
        <is>
          <t>S04</t>
        </is>
      </c>
      <c r="C2" t="inlineStr">
        <is>
          <t>Kowloon Bay Properties Ltd</t>
        </is>
      </c>
      <c r="D2" t="inlineStr">
        <is>
          <t>KBP/R/2607</t>
        </is>
      </c>
      <c r="E2" t="inlineStr">
        <is>
          <t>HKD</t>
        </is>
      </c>
      <c r="F2" s="3" t="n">
        <v>80000</v>
      </c>
      <c r="G2" s="4" t="n">
        <v>1</v>
      </c>
      <c r="H2" s="3">
        <f>ROUND(F2*G2,2)</f>
        <v/>
      </c>
      <c r="I2" t="inlineStr">
        <is>
          <t>469</t>
        </is>
      </c>
      <c r="J2" s="2" t="n">
        <v>46211</v>
      </c>
      <c r="K2" t="inlineStr">
        <is>
          <t>Paid</t>
        </is>
      </c>
      <c r="L2" t="inlineStr">
        <is>
          <t>docs/invoices/2026-07/KBP rent Jul26.pdf</t>
        </is>
      </c>
    </row>
    <row r="3">
      <c r="A3" s="2" t="n">
        <v>46204</v>
      </c>
      <c r="B3" t="inlineStr">
        <is>
          <t>S05</t>
        </is>
      </c>
      <c r="C3" t="inlineStr">
        <is>
          <t>CloudDesk Inc.</t>
        </is>
      </c>
      <c r="D3" t="inlineStr">
        <is>
          <t>CD-10011</t>
        </is>
      </c>
      <c r="E3" t="inlineStr">
        <is>
          <t>USD</t>
        </is>
      </c>
      <c r="F3" s="3" t="n">
        <v>1450</v>
      </c>
      <c r="G3" s="4" t="n">
        <v>7.82</v>
      </c>
      <c r="H3" s="3">
        <f>ROUND(F3*G3,2)</f>
        <v/>
      </c>
      <c r="I3" t="inlineStr">
        <is>
          <t>485</t>
        </is>
      </c>
      <c r="J3" s="2" t="n">
        <v>46219</v>
      </c>
      <c r="K3" t="inlineStr">
        <is>
          <t>Paid</t>
        </is>
      </c>
      <c r="L3" t="inlineStr">
        <is>
          <t>docs/invoices/2026-07/invoice_CD-10011.pdf</t>
        </is>
      </c>
    </row>
    <row r="4">
      <c r="A4" s="2" t="n">
        <v>46206</v>
      </c>
      <c r="B4" t="inlineStr">
        <is>
          <t>S03</t>
        </is>
      </c>
      <c r="C4" t="inlineStr">
        <is>
          <t>Pacific Freight Logistics Ltd</t>
        </is>
      </c>
      <c r="D4" t="inlineStr">
        <is>
          <t>INV-2204</t>
        </is>
      </c>
      <c r="E4" t="inlineStr">
        <is>
          <t>HKD</t>
        </is>
      </c>
      <c r="F4" s="3" t="n">
        <v>23925</v>
      </c>
      <c r="G4" s="4" t="n">
        <v>1</v>
      </c>
      <c r="H4" s="3">
        <f>ROUND(F4*G4,2)</f>
        <v/>
      </c>
      <c r="I4" t="inlineStr">
        <is>
          <t>425</t>
        </is>
      </c>
      <c r="J4" s="2" t="n">
        <v>46236</v>
      </c>
      <c r="K4" t="inlineStr">
        <is>
          <t>Paid</t>
        </is>
      </c>
      <c r="L4" t="inlineStr">
        <is>
          <t>docs/invoices/2026-07/Pacific Freight INV-2204.pdf</t>
        </is>
      </c>
    </row>
    <row r="5">
      <c r="A5" s="2" t="n">
        <v>46211</v>
      </c>
      <c r="B5" t="inlineStr">
        <is>
          <t>S01</t>
        </is>
      </c>
      <c r="C5" t="inlineStr">
        <is>
          <t>Shenzhen Parts Co., Ltd.</t>
        </is>
      </c>
      <c r="D5" t="inlineStr">
        <is>
          <t>SP-2026-0816</t>
        </is>
      </c>
      <c r="E5" t="inlineStr">
        <is>
          <t>RMB</t>
        </is>
      </c>
      <c r="F5" s="3" t="n">
        <v>309510</v>
      </c>
      <c r="G5" s="4" t="n">
        <v>1.083</v>
      </c>
      <c r="H5" s="3">
        <f>ROUND(F5*G5,2)</f>
        <v/>
      </c>
      <c r="I5" t="inlineStr">
        <is>
          <t>310</t>
        </is>
      </c>
      <c r="J5" s="2" t="n">
        <v>46271</v>
      </c>
      <c r="K5" t="inlineStr">
        <is>
          <t>Paid</t>
        </is>
      </c>
      <c r="L5" t="inlineStr">
        <is>
          <t>docs/invoices/2026-07/INV-SP-2026-0816.pdf</t>
        </is>
      </c>
    </row>
    <row r="6">
      <c r="A6" s="2" t="n">
        <v>46218</v>
      </c>
      <c r="B6" t="inlineStr">
        <is>
          <t>S02</t>
        </is>
      </c>
      <c r="C6" t="inlineStr">
        <is>
          <t>Dongguan Precision Electronics Co., Ltd.</t>
        </is>
      </c>
      <c r="D6" t="inlineStr">
        <is>
          <t>DPE/INV/0361</t>
        </is>
      </c>
      <c r="E6" t="inlineStr">
        <is>
          <t>USD</t>
        </is>
      </c>
      <c r="F6" s="3" t="n">
        <v>33980</v>
      </c>
      <c r="G6" s="4" t="n">
        <v>7.82</v>
      </c>
      <c r="H6" s="3">
        <f>ROUND(F6*G6,2)</f>
        <v/>
      </c>
      <c r="I6" t="inlineStr">
        <is>
          <t>310</t>
        </is>
      </c>
      <c r="J6" s="2" t="n">
        <v>46248</v>
      </c>
      <c r="K6" t="inlineStr">
        <is>
          <t>Paid</t>
        </is>
      </c>
      <c r="L6" t="inlineStr">
        <is>
          <t>docs/invoices/2026-07/DPE-INV-0361.pdf</t>
        </is>
      </c>
    </row>
    <row r="7">
      <c r="A7" s="2" t="n">
        <v>46237</v>
      </c>
      <c r="B7" t="inlineStr">
        <is>
          <t>S03</t>
        </is>
      </c>
      <c r="C7" t="inlineStr">
        <is>
          <t>Pacific Freight Logistics Ltd</t>
        </is>
      </c>
      <c r="D7" t="inlineStr">
        <is>
          <t>INV-2247</t>
        </is>
      </c>
      <c r="E7" t="inlineStr">
        <is>
          <t>HKD</t>
        </is>
      </c>
      <c r="F7" s="3" t="n">
        <v>33180</v>
      </c>
      <c r="G7" s="4" t="n">
        <v>1</v>
      </c>
      <c r="H7" s="3">
        <f>ROUND(F7*G7,2)</f>
        <v/>
      </c>
      <c r="I7" t="inlineStr">
        <is>
          <t>425</t>
        </is>
      </c>
      <c r="J7" s="2" t="n">
        <v>46267</v>
      </c>
      <c r="K7" t="inlineStr">
        <is>
          <t>Paid</t>
        </is>
      </c>
      <c r="L7" t="inlineStr">
        <is>
          <t>docs/invoices/2026-08/Pacific Freight INV-2247.pdf</t>
        </is>
      </c>
    </row>
    <row r="8">
      <c r="A8" s="2" t="n">
        <v>46237</v>
      </c>
      <c r="B8" t="inlineStr">
        <is>
          <t>S04</t>
        </is>
      </c>
      <c r="C8" t="inlineStr">
        <is>
          <t>Kowloon Bay Properties Ltd</t>
        </is>
      </c>
      <c r="D8" t="inlineStr">
        <is>
          <t>KBP/L/2608</t>
        </is>
      </c>
      <c r="E8" t="inlineStr">
        <is>
          <t>HKD</t>
        </is>
      </c>
      <c r="F8" s="3" t="n">
        <v>12000</v>
      </c>
      <c r="G8" s="4" t="n">
        <v>1</v>
      </c>
      <c r="H8" s="3">
        <f>ROUND(F8*G8,2)</f>
        <v/>
      </c>
      <c r="I8" t="inlineStr">
        <is>
          <t>469</t>
        </is>
      </c>
      <c r="J8" s="2" t="n">
        <v>46244</v>
      </c>
      <c r="K8" t="inlineStr">
        <is>
          <t>Paid</t>
        </is>
      </c>
      <c r="L8" t="inlineStr">
        <is>
          <t>docs/invoices/2026-08/KBP storage Aug26.pdf</t>
        </is>
      </c>
    </row>
    <row r="9">
      <c r="A9" s="2" t="n">
        <v>46237</v>
      </c>
      <c r="B9" t="inlineStr">
        <is>
          <t>S04</t>
        </is>
      </c>
      <c r="C9" t="inlineStr">
        <is>
          <t>Kowloon Bay Properties Ltd</t>
        </is>
      </c>
      <c r="D9" t="inlineStr">
        <is>
          <t>KBP/R/2608</t>
        </is>
      </c>
      <c r="E9" t="inlineStr">
        <is>
          <t>HKD</t>
        </is>
      </c>
      <c r="F9" s="3" t="n">
        <v>80000</v>
      </c>
      <c r="G9" s="4" t="n">
        <v>1</v>
      </c>
      <c r="H9" s="3">
        <f>ROUND(F9*G9,2)</f>
        <v/>
      </c>
      <c r="I9" t="inlineStr">
        <is>
          <t>469</t>
        </is>
      </c>
      <c r="J9" s="2" t="n">
        <v>46244</v>
      </c>
      <c r="K9" t="inlineStr">
        <is>
          <t>Paid</t>
        </is>
      </c>
      <c r="L9" t="inlineStr">
        <is>
          <t>docs/invoices/2026-08/KBP rent Aug26.pdf</t>
        </is>
      </c>
    </row>
    <row r="10">
      <c r="A10" s="2" t="n">
        <v>46237</v>
      </c>
      <c r="B10" t="inlineStr">
        <is>
          <t>S05</t>
        </is>
      </c>
      <c r="C10" t="inlineStr">
        <is>
          <t>CloudDesk Inc.</t>
        </is>
      </c>
      <c r="D10" t="inlineStr">
        <is>
          <t>CD-10022</t>
        </is>
      </c>
      <c r="E10" t="inlineStr">
        <is>
          <t>USD</t>
        </is>
      </c>
      <c r="F10" s="3" t="n">
        <v>1450</v>
      </c>
      <c r="G10" s="4" t="n">
        <v>7.81</v>
      </c>
      <c r="H10" s="3">
        <f>ROUND(F10*G10,2)</f>
        <v/>
      </c>
      <c r="I10" t="inlineStr">
        <is>
          <t>485</t>
        </is>
      </c>
      <c r="J10" s="2" t="n">
        <v>46252</v>
      </c>
      <c r="K10" t="inlineStr">
        <is>
          <t>Paid</t>
        </is>
      </c>
      <c r="L10" t="inlineStr">
        <is>
          <t>docs/invoices/2026-08/invoice_CD-10022.pdf</t>
        </is>
      </c>
    </row>
    <row r="11">
      <c r="A11" s="2" t="n">
        <v>46244</v>
      </c>
      <c r="B11" t="inlineStr">
        <is>
          <t>S01</t>
        </is>
      </c>
      <c r="C11" t="inlineStr">
        <is>
          <t>Shenzhen Parts Co., Ltd.</t>
        </is>
      </c>
      <c r="D11" t="inlineStr">
        <is>
          <t>SP-2026-0842</t>
        </is>
      </c>
      <c r="E11" t="inlineStr">
        <is>
          <t>RMB</t>
        </is>
      </c>
      <c r="F11" s="3" t="n">
        <v>294780</v>
      </c>
      <c r="G11" s="4" t="n">
        <v>1.082</v>
      </c>
      <c r="H11" s="3">
        <f>ROUND(F11*G11,2)</f>
        <v/>
      </c>
      <c r="I11" t="inlineStr">
        <is>
          <t>310</t>
        </is>
      </c>
      <c r="J11" s="2" t="n">
        <v>46304</v>
      </c>
      <c r="K11" t="inlineStr">
        <is>
          <t>Approved</t>
        </is>
      </c>
      <c r="L11" t="inlineStr">
        <is>
          <t>docs/invoices/2026-08/INV-SP-2026-0842.pdf</t>
        </is>
      </c>
    </row>
    <row r="12">
      <c r="A12" s="2" t="n">
        <v>46251</v>
      </c>
      <c r="B12" t="inlineStr">
        <is>
          <t>S02</t>
        </is>
      </c>
      <c r="C12" t="inlineStr">
        <is>
          <t>Dongguan Precision Electronics Co., Ltd.</t>
        </is>
      </c>
      <c r="D12" t="inlineStr">
        <is>
          <t>DPE/INV/0370</t>
        </is>
      </c>
      <c r="E12" t="inlineStr">
        <is>
          <t>USD</t>
        </is>
      </c>
      <c r="F12" s="3" t="n">
        <v>37750</v>
      </c>
      <c r="G12" s="4" t="n">
        <v>7.81</v>
      </c>
      <c r="H12" s="3">
        <f>ROUND(F12*G12,2)</f>
        <v/>
      </c>
      <c r="I12" t="inlineStr">
        <is>
          <t>310</t>
        </is>
      </c>
      <c r="J12" s="2" t="n">
        <v>46281</v>
      </c>
      <c r="K12" t="inlineStr">
        <is>
          <t>Paid</t>
        </is>
      </c>
      <c r="L12" t="inlineStr">
        <is>
          <t>docs/invoices/2026-08/DPE-INV-0370.pdf</t>
        </is>
      </c>
    </row>
    <row r="13">
      <c r="A13" s="2" t="n">
        <v>46266</v>
      </c>
      <c r="B13" t="inlineStr">
        <is>
          <t>S03</t>
        </is>
      </c>
      <c r="C13" t="inlineStr">
        <is>
          <t>Pacific Freight Logistics Ltd</t>
        </is>
      </c>
      <c r="D13" t="inlineStr">
        <is>
          <t>INV-2291</t>
        </is>
      </c>
      <c r="E13" t="inlineStr">
        <is>
          <t>HKD</t>
        </is>
      </c>
      <c r="F13" s="3" t="n">
        <v>27660</v>
      </c>
      <c r="G13" s="4" t="n">
        <v>1</v>
      </c>
      <c r="H13" s="3">
        <f>ROUND(F13*G13,2)</f>
        <v/>
      </c>
      <c r="I13" t="inlineStr">
        <is>
          <t>425</t>
        </is>
      </c>
      <c r="J13" s="2" t="n">
        <v>46296</v>
      </c>
      <c r="K13" t="inlineStr">
        <is>
          <t>Approved</t>
        </is>
      </c>
      <c r="L13" t="inlineStr">
        <is>
          <t>docs/invoices/2026-09/Pacific Freight INV-2291.pdf</t>
        </is>
      </c>
    </row>
    <row r="14">
      <c r="A14" s="2" t="n">
        <v>46266</v>
      </c>
      <c r="B14" t="inlineStr">
        <is>
          <t>S04</t>
        </is>
      </c>
      <c r="C14" t="inlineStr">
        <is>
          <t>Kowloon Bay Properties Ltd</t>
        </is>
      </c>
      <c r="D14" t="inlineStr">
        <is>
          <t>KBP/R/2609</t>
        </is>
      </c>
      <c r="E14" t="inlineStr">
        <is>
          <t>HKD</t>
        </is>
      </c>
      <c r="F14" s="3" t="n">
        <v>80000</v>
      </c>
      <c r="G14" s="4" t="n">
        <v>1</v>
      </c>
      <c r="H14" s="3">
        <f>ROUND(F14*G14,2)</f>
        <v/>
      </c>
      <c r="I14" t="inlineStr">
        <is>
          <t>469</t>
        </is>
      </c>
      <c r="J14" s="2" t="n">
        <v>46273</v>
      </c>
      <c r="K14" t="inlineStr">
        <is>
          <t>Paid</t>
        </is>
      </c>
      <c r="L14" t="inlineStr">
        <is>
          <t>docs/invoices/2026-09/KBP rent Sep26.pdf</t>
        </is>
      </c>
    </row>
    <row r="15">
      <c r="A15" s="2" t="n">
        <v>46266</v>
      </c>
      <c r="B15" t="inlineStr">
        <is>
          <t>S05</t>
        </is>
      </c>
      <c r="C15" t="inlineStr">
        <is>
          <t>CloudDesk Inc.</t>
        </is>
      </c>
      <c r="D15" t="inlineStr">
        <is>
          <t>CD-10033</t>
        </is>
      </c>
      <c r="E15" t="inlineStr">
        <is>
          <t>USD</t>
        </is>
      </c>
      <c r="F15" s="3" t="n">
        <v>1450</v>
      </c>
      <c r="G15" s="4" t="n">
        <v>7.8</v>
      </c>
      <c r="H15" s="3">
        <f>ROUND(F15*G15,2)</f>
        <v/>
      </c>
      <c r="I15" t="inlineStr">
        <is>
          <t>485</t>
        </is>
      </c>
      <c r="J15" s="2" t="n">
        <v>46281</v>
      </c>
      <c r="K15" t="inlineStr">
        <is>
          <t>Paid</t>
        </is>
      </c>
      <c r="L15" t="inlineStr">
        <is>
          <t>docs/invoices/2026-09/invoice_CD-10033.pdf</t>
        </is>
      </c>
    </row>
    <row r="16">
      <c r="A16" s="2" t="n">
        <v>46268</v>
      </c>
      <c r="B16" t="inlineStr">
        <is>
          <t>S04</t>
        </is>
      </c>
      <c r="C16" t="inlineStr">
        <is>
          <t>Kowloon Bay Properties Ltd</t>
        </is>
      </c>
      <c r="D16" t="inlineStr">
        <is>
          <t>KBP/L/2609</t>
        </is>
      </c>
      <c r="E16" t="inlineStr">
        <is>
          <t>HKD</t>
        </is>
      </c>
      <c r="F16" s="3" t="n">
        <v>12000</v>
      </c>
      <c r="G16" s="4" t="n">
        <v>1</v>
      </c>
      <c r="H16" s="3">
        <f>ROUND(F16*G16,2)</f>
        <v/>
      </c>
      <c r="I16" t="inlineStr">
        <is>
          <t>469</t>
        </is>
      </c>
      <c r="J16" s="2" t="n">
        <v>46275</v>
      </c>
      <c r="K16" t="inlineStr">
        <is>
          <t>Paid</t>
        </is>
      </c>
      <c r="L16" t="inlineStr">
        <is>
          <t>docs/invoices/2026-09/KBP storage Sep26.pdf</t>
        </is>
      </c>
    </row>
    <row r="17">
      <c r="A17" s="2" t="n">
        <v>46273</v>
      </c>
      <c r="B17" t="inlineStr">
        <is>
          <t>S01</t>
        </is>
      </c>
      <c r="C17" t="inlineStr">
        <is>
          <t>Shenzhen Parts Co., Ltd.</t>
        </is>
      </c>
      <c r="D17" t="inlineStr">
        <is>
          <t>SP-2026-0865</t>
        </is>
      </c>
      <c r="E17" t="inlineStr">
        <is>
          <t>RMB</t>
        </is>
      </c>
      <c r="F17" s="3" t="n">
        <v>332870</v>
      </c>
      <c r="G17" s="4" t="n">
        <v>1.08</v>
      </c>
      <c r="H17" s="3">
        <f>ROUND(F17*G17,2)</f>
        <v/>
      </c>
      <c r="I17" t="inlineStr">
        <is>
          <t>310</t>
        </is>
      </c>
      <c r="J17" s="2" t="n">
        <v>46333</v>
      </c>
      <c r="K17" t="inlineStr">
        <is>
          <t>Approved</t>
        </is>
      </c>
      <c r="L17" t="inlineStr">
        <is>
          <t>docs/invoices/2026-09/INV-SP-2026-0865.pdf</t>
        </is>
      </c>
    </row>
    <row r="18">
      <c r="A18" s="2" t="n">
        <v>46280</v>
      </c>
      <c r="B18" t="inlineStr">
        <is>
          <t>S02</t>
        </is>
      </c>
      <c r="C18" t="inlineStr">
        <is>
          <t>Dongguan Precision Electronics Co., Ltd.</t>
        </is>
      </c>
      <c r="D18" t="inlineStr">
        <is>
          <t>DPE/INV/0379</t>
        </is>
      </c>
      <c r="E18" t="inlineStr">
        <is>
          <t>USD</t>
        </is>
      </c>
      <c r="F18" s="3" t="n">
        <v>35350</v>
      </c>
      <c r="G18" s="4" t="n">
        <v>7.8</v>
      </c>
      <c r="H18" s="3">
        <f>ROUND(F18*G18,2)</f>
        <v/>
      </c>
      <c r="I18" t="inlineStr">
        <is>
          <t>310</t>
        </is>
      </c>
      <c r="J18" s="2" t="n">
        <v>46310</v>
      </c>
      <c r="K18" t="inlineStr">
        <is>
          <t>Approved</t>
        </is>
      </c>
      <c r="L18" t="inlineStr">
        <is>
          <t>docs/invoices/2026-09/DPE-INV-0379.pdf</t>
        </is>
      </c>
    </row>
  </sheetData>
  <autoFilter ref="A1:L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Anna Chan</dc:creator>
  <dcterms:created xsi:type="dcterms:W3CDTF">2026-10-02T10:30:00Z</dcterms:created>
  <dcterms:modified xsi:type="dcterms:W3CDTF">2026-10-02T10:30:00Z</dcterms:modified>
  <cp:lastModifiedBy>Ken Lau</cp:lastModifiedBy>
</cp:coreProperties>
</file>